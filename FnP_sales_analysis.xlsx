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C:\Users\VICTUS\Downloads\FnP_sales_analysis_Excel\"/>
    </mc:Choice>
  </mc:AlternateContent>
  <xr:revisionPtr revIDLastSave="0" documentId="13_ncr:1_{1E84D5B7-29C0-42B9-BD5E-6FB925647927}" xr6:coauthVersionLast="47" xr6:coauthVersionMax="47" xr10:uidLastSave="{00000000-0000-0000-0000-000000000000}"/>
  <bookViews>
    <workbookView xWindow="-108" yWindow="-108" windowWidth="23256" windowHeight="12456" firstSheet="1" activeTab="5" xr2:uid="{963E5D27-B413-4DF4-8F2C-20F3295B703D}"/>
  </bookViews>
  <sheets>
    <sheet name="fnp dataset" sheetId="2" state="hidden" r:id="rId1"/>
    <sheet name="Customer" sheetId="3" r:id="rId2"/>
    <sheet name="Orders" sheetId="4" r:id="rId3"/>
    <sheet name="Products" sheetId="5" r:id="rId4"/>
    <sheet name="Sheet1" sheetId="1" r:id="rId5"/>
    <sheet name="Dashboard" sheetId="6" r:id="rId6"/>
  </sheets>
  <definedNames>
    <definedName name="ExternalData_1" localSheetId="0" hidden="1">'fnp dataset'!$A$1:$F$4</definedName>
    <definedName name="ExternalData_2" localSheetId="1" hidden="1">'Customer'!$A$1:$G$101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85" r:id="rId7"/>
    <pivotCache cacheId="191" r:id="rId8"/>
    <pivotCache cacheId="194" r:id="rId9"/>
    <pivotCache cacheId="197" r:id="rId10"/>
    <pivotCache cacheId="200" r:id="rId11"/>
    <pivotCache cacheId="203" r:id="rId12"/>
    <pivotCache cacheId="20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0d2de9e8-ca64-4d87-ae80-2dc6568a6987" name="fnp dataset" connection="Query - fnp dataset"/>
          <x15:modelTable id="Customer_f0167de9-8528-4b10-b9cc-538217f6c7b6" name="Customer" connection="Query - Customer"/>
          <x15:modelTable id="Orders_f593061e-d774-48ba-925b-3bb7e847d387" name="Orders" connection="Query - Orders"/>
          <x15:modelTable id="Products_07076428-e287-4714-bec4-6017cba26bc8"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FD2A16-7E24-4815-A313-C0F82680D814}" keepAlive="1" name="ModelConnection_ExternalData_1" description="Data Model" type="5" refreshedVersion="7" minRefreshableVersion="5" saveData="1">
    <dbPr connection="Data Model Connection" command="fnp dataset" commandType="3"/>
    <extLst>
      <ext xmlns:x15="http://schemas.microsoft.com/office/spreadsheetml/2010/11/main" uri="{DE250136-89BD-433C-8126-D09CA5730AF9}">
        <x15:connection id="" model="1"/>
      </ext>
    </extLst>
  </connection>
  <connection id="2" xr16:uid="{B2CE7E19-1230-46B2-A7F9-DCFC525AA30F}" keepAlive="1" name="ModelConnection_ExternalData_2" description="Data Model" type="5" refreshedVersion="7" minRefreshableVersion="5" saveData="1">
    <dbPr connection="Data Model Connection" command="Customer" commandType="3"/>
    <extLst>
      <ext xmlns:x15="http://schemas.microsoft.com/office/spreadsheetml/2010/11/main" uri="{DE250136-89BD-433C-8126-D09CA5730AF9}">
        <x15:connection id="" model="1"/>
      </ext>
    </extLst>
  </connection>
  <connection id="3" xr16:uid="{29E28830-A017-4C92-B360-580C34555239}"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A6133948-85E7-4D66-AC60-5337A2D0A8EC}"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251DEE1E-F3B4-493C-B23E-75D150217641}" name="Query - Customer" description="Connection to the 'Customer' query in the workbook." type="100" refreshedVersion="7" minRefreshableVersion="5">
    <extLst>
      <ext xmlns:x15="http://schemas.microsoft.com/office/spreadsheetml/2010/11/main" uri="{DE250136-89BD-433C-8126-D09CA5730AF9}">
        <x15:connection id="24864565-d191-4ee2-b8e4-d1b88bf1ce84"/>
      </ext>
    </extLst>
  </connection>
  <connection id="6" xr16:uid="{B905D539-D50F-448D-AD0B-AB7CD478E212}" name="Query - fnp dataset" description="Connection to the 'fnp dataset' query in the workbook." type="100" refreshedVersion="7" minRefreshableVersion="5">
    <extLst>
      <ext xmlns:x15="http://schemas.microsoft.com/office/spreadsheetml/2010/11/main" uri="{DE250136-89BD-433C-8126-D09CA5730AF9}">
        <x15:connection id="4924953d-cc7d-4405-bf78-0f0c458f50d3"/>
      </ext>
    </extLst>
  </connection>
  <connection id="7" xr16:uid="{A4B92B7E-D9DD-415E-AA8E-79781B83AE20}" name="Query - Orders" description="Connection to the 'Orders' query in the workbook." type="100" refreshedVersion="7" minRefreshableVersion="5">
    <extLst>
      <ext xmlns:x15="http://schemas.microsoft.com/office/spreadsheetml/2010/11/main" uri="{DE250136-89BD-433C-8126-D09CA5730AF9}">
        <x15:connection id="523a2b2d-2e54-43fe-85c2-14dc53a728e8"/>
      </ext>
    </extLst>
  </connection>
  <connection id="8" xr16:uid="{4AA640E9-7CC5-4E18-83A6-F0BED880BDB6}" name="Query - Products" description="Connection to the 'Products' query in the workbook." type="100" refreshedVersion="7" minRefreshableVersion="5">
    <extLst>
      <ext xmlns:x15="http://schemas.microsoft.com/office/spreadsheetml/2010/11/main" uri="{DE250136-89BD-433C-8126-D09CA5730AF9}">
        <x15:connection id="87733df8-0658-4506-ba3e-fbf392b5369a"/>
      </ext>
    </extLst>
  </connection>
  <connection id="9" xr16:uid="{56A96EDC-C4D0-4E9F-9DC4-B231F9717B8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<sst xmlns="http://schemas.openxmlformats.org/spreadsheetml/2006/main" count="6017" uniqueCount="948">
  <si>
    <t>Name</t>
  </si>
  <si>
    <t>Extension</t>
  </si>
  <si>
    <t>Date accessed</t>
  </si>
  <si>
    <t>Date modified</t>
  </si>
  <si>
    <t>Date created</t>
  </si>
  <si>
    <t>Folder Path</t>
  </si>
  <si>
    <t>customers.csv</t>
  </si>
  <si>
    <t>.csv</t>
  </si>
  <si>
    <t>C:\Users\VICTUS\Downloads\fnp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</si>
  <si>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</si>
  <si>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</si>
  <si>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</si>
  <si>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</si>
  <si>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</si>
  <si>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</si>
  <si>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</si>
  <si>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</si>
  <si>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</si>
  <si>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</si>
  <si>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</si>
  <si>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</si>
  <si>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</si>
  <si>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</si>
  <si>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</si>
  <si>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</si>
  <si>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</si>
  <si>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</si>
  <si>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</si>
  <si>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</si>
  <si>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</si>
  <si>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</si>
  <si>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</si>
  <si>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</si>
  <si>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</si>
  <si>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</si>
  <si>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</si>
  <si>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</si>
  <si>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</si>
  <si>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</si>
  <si>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</si>
  <si>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</si>
  <si>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</si>
  <si>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</si>
  <si>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</si>
  <si>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</si>
  <si>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</si>
  <si>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</si>
  <si>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</si>
  <si>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</si>
  <si>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</si>
  <si>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</si>
  <si>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</si>
  <si>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</si>
  <si>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</si>
  <si>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</si>
  <si>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</si>
  <si>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</si>
  <si>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</si>
  <si>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</si>
  <si>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</si>
  <si>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</si>
  <si>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</si>
  <si>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</si>
  <si>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</si>
  <si>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</si>
  <si>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</si>
  <si>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</si>
  <si>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</si>
  <si>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</si>
  <si>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</si>
  <si>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</si>
  <si>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</si>
  <si>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</si>
  <si>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</si>
  <si>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</si>
  <si>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</si>
  <si>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</si>
  <si>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</si>
  <si>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</si>
  <si>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</si>
  <si>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</si>
  <si>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</si>
  <si>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</si>
  <si>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</si>
  <si>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</si>
  <si>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</si>
  <si>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</si>
  <si>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</si>
  <si>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</si>
  <si>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</si>
  <si>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</si>
  <si>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</si>
  <si>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</si>
  <si>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</si>
  <si>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</si>
  <si>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</si>
  <si>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</si>
  <si>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</si>
  <si>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</si>
  <si>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</si>
  <si>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</si>
  <si>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</si>
  <si>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</si>
  <si>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</si>
  <si>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</si>
  <si>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</si>
  <si>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</si>
  <si>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</si>
  <si>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</si>
  <si>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</si>
  <si>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</si>
  <si>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</si>
  <si>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</si>
  <si>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</si>
  <si>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</si>
  <si>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</si>
  <si>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</si>
  <si>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</si>
  <si>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</si>
  <si>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</si>
  <si>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</si>
  <si>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</si>
  <si>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</si>
  <si>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</si>
  <si>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</si>
  <si>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</si>
  <si>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</si>
  <si>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</si>
  <si>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</si>
  <si>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</si>
  <si>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</si>
  <si>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</si>
  <si>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</si>
  <si>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</si>
  <si>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</si>
  <si>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</si>
  <si>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</si>
  <si>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</si>
  <si>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</si>
  <si>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</si>
  <si>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</si>
  <si>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</si>
  <si>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</si>
  <si>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</si>
  <si>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</si>
  <si>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</si>
  <si>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</si>
  <si>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</si>
  <si>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</si>
  <si>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</si>
  <si>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</si>
  <si>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</si>
  <si>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</si>
  <si>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</si>
  <si>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</si>
  <si>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</si>
  <si>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</si>
  <si>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</si>
  <si>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</si>
  <si>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</si>
  <si>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</si>
  <si>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</si>
  <si>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</si>
  <si>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</si>
  <si>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</si>
  <si>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</si>
  <si>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</si>
  <si>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</si>
  <si>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</si>
  <si>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</si>
  <si>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</si>
  <si>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</si>
  <si>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</si>
  <si>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</si>
  <si>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</si>
  <si>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</si>
  <si>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</si>
  <si>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</si>
  <si>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</si>
  <si>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</si>
  <si>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</si>
  <si>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</si>
  <si>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</si>
  <si>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</si>
  <si>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</si>
  <si>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</si>
  <si>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</si>
  <si>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</si>
  <si>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</si>
  <si>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</si>
  <si>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</si>
  <si>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</si>
  <si>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</si>
  <si>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</si>
  <si>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</si>
  <si>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</si>
  <si>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</si>
  <si>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</si>
  <si>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</si>
  <si>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</si>
  <si>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</si>
  <si>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</si>
  <si>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</si>
  <si>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</si>
  <si>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</si>
  <si>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</si>
  <si>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</si>
  <si>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</si>
  <si>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</si>
  <si>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</si>
  <si>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</si>
  <si>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</si>
  <si>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</si>
  <si>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</si>
  <si>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</si>
  <si>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</si>
  <si>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</si>
  <si>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</si>
  <si>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</si>
  <si>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</si>
  <si>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</si>
  <si>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</si>
  <si>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</si>
  <si>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</si>
  <si>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</si>
  <si>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</si>
  <si>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</si>
  <si>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</si>
  <si>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</si>
  <si>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</si>
  <si>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</si>
  <si>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</si>
  <si>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</si>
  <si>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</si>
  <si>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</si>
  <si>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</si>
  <si>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</si>
  <si>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</si>
  <si>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</si>
  <si>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</si>
  <si>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</si>
  <si>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</si>
  <si>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</si>
  <si>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</si>
  <si>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</si>
  <si>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</si>
  <si>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</si>
  <si>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</si>
  <si>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</si>
  <si>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</si>
  <si>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</si>
  <si>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</si>
  <si>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</si>
  <si>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</si>
  <si>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</si>
  <si>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</si>
  <si>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</si>
  <si>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</si>
  <si>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</si>
  <si>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</si>
  <si>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</si>
  <si>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</si>
  <si>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</si>
  <si>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</si>
  <si>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</si>
  <si>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</si>
  <si>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</si>
  <si>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</si>
  <si>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</si>
  <si>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</si>
  <si>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</si>
  <si>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</si>
  <si>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</si>
  <si>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</si>
  <si>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</si>
  <si>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</si>
  <si>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</si>
  <si>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</si>
  <si>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</si>
  <si>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</si>
  <si>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</si>
  <si>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</si>
  <si>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</si>
  <si>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</si>
  <si>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</si>
  <si>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</si>
  <si>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</si>
  <si>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</si>
  <si>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</si>
  <si>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</si>
  <si>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</si>
  <si>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</si>
  <si>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</si>
  <si>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</si>
  <si>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</si>
  <si>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</si>
  <si>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</si>
  <si>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</si>
  <si>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</si>
  <si>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</si>
  <si>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</si>
  <si>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</si>
  <si>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</si>
  <si>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</si>
  <si>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</si>
  <si>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</si>
  <si>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</si>
  <si>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</si>
  <si>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</si>
  <si>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</si>
  <si>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</si>
  <si>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</si>
  <si>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</si>
  <si>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</si>
  <si>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</si>
  <si>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</si>
  <si>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</si>
  <si>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</si>
  <si>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</si>
  <si>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</si>
  <si>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</si>
  <si>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</si>
  <si>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</si>
  <si>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</si>
  <si>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</si>
  <si>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</si>
  <si>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</si>
  <si>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</si>
  <si>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</si>
  <si>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</si>
  <si>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</si>
  <si>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</si>
  <si>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</si>
  <si>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</si>
  <si>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</si>
  <si>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</si>
  <si>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</si>
  <si>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</si>
  <si>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</si>
  <si>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</si>
  <si>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</si>
  <si>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</si>
  <si>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</si>
  <si>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</si>
  <si>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</si>
  <si>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</si>
  <si>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</si>
  <si>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</si>
  <si>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</si>
  <si>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</si>
  <si>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</si>
  <si>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</si>
  <si>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</si>
  <si>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</si>
  <si>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</si>
  <si>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</si>
  <si>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</si>
  <si>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</si>
  <si>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</si>
  <si>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</si>
  <si>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</si>
  <si>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</si>
  <si>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</si>
  <si>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</si>
  <si>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</si>
  <si>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</si>
  <si>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</si>
  <si>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</si>
  <si>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</si>
  <si>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</si>
  <si>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</si>
  <si>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</si>
  <si>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</si>
  <si>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</si>
  <si>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</si>
  <si>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</si>
  <si>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</si>
  <si>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</si>
  <si>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</si>
  <si>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</si>
  <si>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</si>
  <si>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</si>
  <si>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</si>
  <si>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</si>
  <si>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</si>
  <si>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</si>
  <si>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</si>
  <si>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</si>
  <si>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</si>
  <si>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</si>
  <si>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</si>
  <si>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</si>
  <si>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</si>
  <si>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</si>
  <si>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</si>
  <si>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</si>
  <si>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</si>
  <si>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</si>
  <si>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</si>
  <si>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</si>
  <si>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</si>
  <si>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</si>
  <si>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</si>
  <si>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</si>
  <si>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</si>
  <si>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</si>
  <si>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</si>
  <si>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</si>
  <si>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</si>
  <si>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</si>
  <si>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</si>
  <si>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</si>
  <si>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</si>
  <si>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</si>
  <si>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</si>
  <si>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</si>
  <si>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</si>
  <si>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</si>
  <si>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</si>
  <si>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</si>
  <si>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</si>
  <si>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</si>
  <si>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</si>
  <si>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</si>
  <si>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</si>
  <si>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</si>
  <si>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</si>
  <si>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</si>
  <si>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</si>
  <si>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</si>
  <si>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</si>
  <si>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</si>
  <si>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</si>
  <si>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</si>
  <si>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</si>
  <si>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</si>
  <si>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</si>
  <si>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</si>
  <si>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</si>
  <si>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</si>
  <si>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</si>
  <si>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</si>
  <si>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</si>
  <si>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</si>
  <si>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</si>
  <si>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</si>
  <si>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</si>
  <si>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</si>
  <si>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</si>
  <si>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</si>
  <si>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</si>
  <si>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</si>
  <si>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</si>
  <si>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</si>
  <si>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</si>
  <si>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</si>
  <si>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</si>
  <si>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</si>
  <si>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</si>
  <si>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</si>
  <si>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</si>
  <si>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</si>
  <si>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</si>
  <si>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</si>
  <si>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</si>
  <si>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</si>
  <si>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</si>
  <si>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</si>
  <si>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</si>
  <si>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</si>
  <si>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</si>
  <si>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</si>
  <si>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</si>
  <si>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</si>
  <si>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</si>
  <si>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</si>
  <si>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</si>
  <si>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</si>
  <si>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</si>
  <si>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</si>
  <si>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</si>
  <si>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</si>
  <si>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</si>
  <si>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</si>
  <si>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</si>
  <si>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</si>
  <si>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</si>
  <si>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</si>
  <si>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</si>
  <si>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</si>
  <si>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</si>
  <si>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</si>
  <si>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</si>
  <si>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</si>
  <si>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</si>
  <si>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</si>
  <si>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</si>
  <si>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</si>
  <si>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</si>
  <si>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</si>
  <si>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</si>
  <si>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</si>
  <si>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</si>
  <si>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</si>
  <si>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</si>
  <si>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</si>
  <si>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</si>
  <si>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</si>
  <si>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</si>
  <si>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</si>
  <si>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</si>
  <si>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</si>
  <si>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</si>
  <si>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</si>
  <si>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</si>
  <si>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</si>
  <si>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</si>
  <si>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</si>
  <si>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</si>
  <si>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</si>
  <si>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</si>
  <si>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</si>
  <si>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</si>
  <si>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</si>
  <si>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</si>
  <si>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</si>
  <si>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</si>
  <si>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</si>
  <si>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</si>
  <si>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</si>
  <si>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</si>
  <si>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</si>
  <si>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</si>
  <si>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</si>
  <si>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</si>
  <si>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</si>
  <si>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</si>
  <si>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</si>
  <si>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</si>
  <si>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</si>
  <si>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</si>
  <si>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</si>
  <si>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</si>
  <si>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</si>
  <si>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</si>
  <si>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</si>
  <si>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</si>
  <si>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</si>
  <si>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</si>
  <si>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</si>
  <si>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</si>
  <si>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</si>
  <si>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</si>
  <si>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</si>
  <si>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</si>
  <si>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</si>
  <si>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</si>
  <si>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</si>
  <si>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</si>
  <si>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</si>
  <si>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</si>
  <si>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</si>
  <si>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</si>
  <si>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</si>
  <si>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</si>
  <si>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</si>
  <si>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</si>
  <si>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</si>
  <si>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</si>
  <si>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</si>
  <si>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</si>
  <si>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</si>
  <si>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</si>
  <si>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</si>
  <si>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</si>
  <si>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</si>
  <si>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</si>
  <si>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</si>
  <si>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</si>
  <si>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</si>
  <si>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</si>
  <si>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</si>
  <si>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</si>
  <si>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</si>
  <si>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</si>
  <si>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</si>
  <si>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</si>
  <si>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</si>
  <si>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</si>
  <si>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</si>
  <si>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</si>
  <si>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</si>
  <si>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</si>
  <si>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</si>
  <si>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</si>
  <si>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</si>
  <si>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</si>
  <si>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</si>
  <si>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</si>
  <si>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</si>
  <si>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</si>
  <si>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</si>
  <si>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</si>
  <si>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</si>
  <si>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</si>
  <si>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</si>
  <si>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</si>
  <si>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</si>
  <si>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</si>
  <si>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</si>
  <si>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</si>
  <si>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</si>
  <si>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</si>
  <si>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</si>
  <si>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</si>
  <si>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</si>
  <si>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</si>
  <si>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</si>
  <si>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</si>
  <si>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</si>
  <si>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</si>
  <si>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</si>
  <si>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</si>
  <si>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</si>
  <si>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</si>
  <si>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</si>
  <si>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</si>
  <si>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</si>
  <si>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</si>
  <si>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</si>
  <si>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</si>
  <si>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</si>
  <si>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</si>
  <si>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</si>
  <si>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</si>
  <si>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</si>
  <si>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</si>
  <si>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</si>
  <si>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</si>
  <si>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</si>
  <si>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</si>
  <si>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</si>
  <si>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</si>
  <si>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</si>
  <si>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</si>
  <si>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</si>
  <si>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</si>
  <si>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</si>
  <si>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</si>
  <si>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</si>
  <si>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</si>
  <si>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</si>
  <si>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</si>
  <si>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</si>
  <si>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</si>
  <si>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</si>
  <si>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</si>
  <si>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</si>
  <si>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</si>
  <si>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</si>
  <si>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</si>
  <si>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</si>
  <si>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</si>
  <si>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</si>
  <si>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</si>
  <si>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</si>
  <si>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</si>
  <si>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</si>
  <si>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</si>
  <si>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</si>
  <si>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</si>
  <si>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</si>
  <si>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</si>
  <si>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</si>
  <si>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</si>
  <si>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</si>
  <si>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</si>
  <si>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</si>
  <si>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</si>
  <si>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</si>
  <si>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</si>
  <si>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</si>
  <si>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</si>
  <si>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</si>
  <si>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</si>
  <si>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</si>
  <si>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</si>
  <si>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</si>
  <si>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</si>
  <si>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</si>
  <si>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</si>
  <si>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</si>
  <si>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</si>
  <si>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</si>
  <si>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</si>
  <si>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</si>
  <si>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</si>
  <si>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</si>
  <si>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</si>
  <si>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</si>
  <si>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</si>
  <si>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</si>
  <si>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</si>
  <si>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</si>
  <si>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</si>
  <si>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</si>
  <si>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</si>
  <si>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</si>
  <si>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</si>
  <si>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</si>
  <si>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</si>
  <si>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</si>
  <si>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</si>
  <si>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</si>
  <si>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</si>
  <si>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</si>
  <si>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</si>
  <si>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</si>
  <si>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</si>
  <si>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</si>
  <si>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</si>
  <si>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</si>
  <si>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</si>
  <si>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</si>
  <si>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</si>
  <si>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</si>
  <si>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</si>
  <si>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</si>
  <si>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</si>
  <si>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</si>
  <si>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</si>
  <si>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</si>
  <si>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</si>
  <si>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</si>
  <si>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</si>
  <si>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</si>
  <si>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</si>
  <si>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</si>
  <si>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</si>
  <si>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</si>
  <si>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</si>
  <si>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</si>
  <si>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</si>
  <si>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</si>
  <si>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</si>
  <si>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</si>
  <si>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</si>
  <si>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</si>
  <si>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</si>
  <si>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</si>
  <si>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</si>
  <si>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</si>
  <si>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</si>
  <si>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</si>
  <si>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</si>
  <si>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</si>
  <si>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</si>
  <si>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</si>
  <si>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</si>
  <si>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</si>
  <si>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</si>
  <si>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</si>
  <si>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</si>
  <si>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</si>
  <si>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</si>
  <si>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</si>
  <si>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</si>
  <si>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</si>
  <si>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</si>
  <si>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</si>
  <si>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</si>
  <si>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</si>
  <si>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</si>
  <si>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</si>
  <si>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</si>
  <si>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</si>
  <si>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</si>
  <si>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</si>
  <si>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</si>
  <si>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</si>
  <si>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</si>
  <si>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</si>
  <si>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</si>
  <si>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</si>
  <si>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</si>
  <si>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</si>
  <si>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</si>
  <si>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</si>
  <si>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</si>
  <si>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</si>
  <si>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</si>
  <si>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</si>
  <si>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</si>
  <si>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</si>
  <si>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</si>
  <si>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</si>
  <si>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</si>
  <si>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</si>
  <si>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</si>
  <si>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</si>
  <si>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</si>
  <si>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</si>
  <si>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</si>
  <si>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</si>
  <si>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</si>
  <si>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</si>
  <si>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</si>
  <si>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</si>
  <si>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</si>
  <si>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</si>
  <si>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</si>
  <si>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</si>
  <si>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</si>
  <si>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</si>
  <si>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</si>
  <si>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</si>
  <si>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</si>
  <si>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</si>
  <si>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</si>
  <si>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</si>
  <si>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</si>
  <si>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</si>
  <si>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</si>
  <si>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</si>
  <si>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</si>
  <si>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</si>
  <si>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</si>
  <si>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</si>
  <si>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</si>
  <si>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</si>
  <si>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</si>
  <si>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</si>
  <si>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</si>
  <si>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</si>
  <si>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</si>
  <si>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</si>
  <si>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</si>
  <si>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</si>
  <si>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</si>
  <si>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</si>
  <si>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</si>
  <si>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</si>
  <si>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</si>
  <si>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</si>
  <si>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</si>
  <si>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</si>
  <si>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</si>
  <si>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</si>
  <si>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</si>
  <si>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</si>
  <si>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</si>
  <si>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</si>
  <si>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</si>
  <si>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</si>
  <si>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</si>
  <si>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</si>
  <si>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</si>
  <si>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</si>
  <si>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</si>
  <si>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</si>
  <si>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</si>
  <si>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</si>
  <si>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</si>
  <si>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</si>
  <si>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</si>
  <si>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</si>
  <si>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</si>
  <si>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</si>
  <si>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</si>
  <si>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</si>
  <si>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</si>
  <si>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</si>
  <si>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</si>
  <si>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</si>
  <si>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</si>
  <si>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</si>
  <si>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</si>
  <si>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</si>
  <si>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</si>
  <si>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</si>
  <si>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</si>
  <si>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</si>
  <si>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</si>
  <si>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</si>
  <si>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</si>
  <si>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</si>
  <si>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</si>
  <si>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</si>
  <si>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</si>
  <si>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</si>
  <si>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</si>
  <si>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</si>
  <si>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</si>
  <si>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</si>
  <si>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</si>
  <si>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</si>
  <si>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</si>
  <si>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</si>
  <si>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</si>
  <si>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</si>
  <si>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</si>
  <si>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</si>
  <si>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</si>
  <si>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</si>
  <si>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</si>
  <si>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</si>
  <si>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</si>
  <si>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</si>
  <si>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</si>
  <si>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</si>
  <si>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</si>
  <si>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</si>
  <si>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</si>
  <si>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</si>
  <si>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</si>
  <si>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</si>
  <si>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</si>
  <si>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</si>
  <si>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</si>
  <si>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</si>
  <si>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</si>
  <si>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</si>
  <si>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</si>
  <si>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</si>
  <si>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</si>
  <si>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</si>
  <si>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</si>
  <si>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</si>
  <si>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</si>
  <si>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</si>
  <si>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</si>
  <si>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</si>
  <si>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</si>
  <si>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</si>
  <si>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</si>
  <si>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</si>
  <si>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</si>
  <si>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</si>
  <si>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</si>
  <si>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</si>
  <si>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Day name (order date)</t>
  </si>
  <si>
    <t>Row Labels</t>
  </si>
  <si>
    <t>Grand Total</t>
  </si>
  <si>
    <t>Sum of Revenue</t>
  </si>
  <si>
    <t>Average of diff_order_delivery</t>
  </si>
  <si>
    <t>Average of customer spending</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</si>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</sst>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Sheet1!$H$11</c:f>
              <c:strCache>
                <c:ptCount val="1"/>
                <c:pt idx="0">
                  <c:v>Total</c:v>
                </c:pt>
              </c:strCache>
            </c:strRef>
          </c:tx>
          <c:spPr>
            <a:solidFill>
              <a:schemeClr val="accent1"/>
            </a:solidFill>
            <a:ln>
              <a:noFill/>
            </a:ln>
            <a:effectLst/>
          </c:spPr>
          <c:invertIfNegative val="0"/>
          <c:cat>
            <c:strRef>
              <c:f>Sheet1!$G$12:$G$19</c:f>
              <c:strCache>
                <c:ptCount val="7"/>
                <c:pt idx="0">
                  <c:v>All Occasions</c:v>
                </c:pt>
                <c:pt idx="1">
                  <c:v>Anniversary</c:v>
                </c:pt>
                <c:pt idx="2">
                  <c:v>Birthday</c:v>
                </c:pt>
                <c:pt idx="3">
                  <c:v>Diwali</c:v>
                </c:pt>
                <c:pt idx="4">
                  <c:v>Holi</c:v>
                </c:pt>
                <c:pt idx="5">
                  <c:v>Raksha Bandhan</c:v>
                </c:pt>
                <c:pt idx="6">
                  <c:v>Valentine's Day</c:v>
                </c:pt>
              </c:strCache>
            </c:strRef>
          </c:cat>
          <c:val>
            <c:numRef>
              <c:f>Sheet1!$H$12:$H$19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D8A6-4A4C-9E96-ED39DD3D44E2}"/>
            </c:ext>
          </c:extLst>
        </c:ser>
        <c:dLbls>
          <c:showLegendKey val="0"/>
          <c:showVal val="0"/>
          <c:showCatName val="0"/>
          <c:showSerName val="0"/>
          <c:showPercent val="0"/>
          <c:showBubbleSize val="0"/>
        </c:dLbls>
        <c:gapWidth val="219"/>
        <c:overlap val="-27"/>
        <c:axId val="604547904"/>
        <c:axId val="604548320"/>
      </c:barChart>
      <c:catAx>
        <c:axId val="6045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48320"/>
        <c:crosses val="autoZero"/>
        <c:auto val="1"/>
        <c:lblAlgn val="ctr"/>
        <c:lblOffset val="100"/>
        <c:noMultiLvlLbl val="0"/>
      </c:catAx>
      <c:valAx>
        <c:axId val="604548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4790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Sheet1!$A$17:$A$24</c:f>
              <c:strCache>
                <c:ptCount val="7"/>
                <c:pt idx="0">
                  <c:v>Cake</c:v>
                </c:pt>
                <c:pt idx="1">
                  <c:v>Colors</c:v>
                </c:pt>
                <c:pt idx="2">
                  <c:v>Mugs</c:v>
                </c:pt>
                <c:pt idx="3">
                  <c:v>Plants</c:v>
                </c:pt>
                <c:pt idx="4">
                  <c:v>Raksha Bandhan</c:v>
                </c:pt>
                <c:pt idx="5">
                  <c:v>Soft Toys</c:v>
                </c:pt>
                <c:pt idx="6">
                  <c:v>Sweets</c:v>
                </c:pt>
              </c:strCache>
            </c:strRef>
          </c:cat>
          <c:val>
            <c:numRef>
              <c:f>Sheet1!$B$17:$B$24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FE5E-400C-9D4E-6A8340E7E50E}"/>
            </c:ext>
          </c:extLst>
        </c:ser>
        <c:dLbls>
          <c:showLegendKey val="0"/>
          <c:showVal val="0"/>
          <c:showCatName val="0"/>
          <c:showSerName val="0"/>
          <c:showPercent val="0"/>
          <c:showBubbleSize val="0"/>
        </c:dLbls>
        <c:gapWidth val="219"/>
        <c:overlap val="-27"/>
        <c:axId val="604547904"/>
        <c:axId val="604548320"/>
      </c:barChart>
      <c:catAx>
        <c:axId val="6045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48320"/>
        <c:crosses val="autoZero"/>
        <c:auto val="1"/>
        <c:lblAlgn val="ctr"/>
        <c:lblOffset val="100"/>
        <c:noMultiLvlLbl val="0"/>
      </c:catAx>
      <c:valAx>
        <c:axId val="604548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4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3A06-4C07-8B23-D0871E6020F8}"/>
            </c:ext>
          </c:extLst>
        </c:ser>
        <c:dLbls>
          <c:showLegendKey val="0"/>
          <c:showVal val="0"/>
          <c:showCatName val="0"/>
          <c:showSerName val="0"/>
          <c:showPercent val="0"/>
          <c:showBubbleSize val="0"/>
        </c:dLbls>
        <c:smooth val="0"/>
        <c:axId val="610045024"/>
        <c:axId val="610035872"/>
      </c:lineChart>
      <c:catAx>
        <c:axId val="6100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35872"/>
        <c:crosses val="autoZero"/>
        <c:auto val="1"/>
        <c:lblAlgn val="ctr"/>
        <c:lblOffset val="100"/>
        <c:noMultiLvlLbl val="0"/>
      </c:catAx>
      <c:valAx>
        <c:axId val="610035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4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9C77-4DB7-82EE-1B25B66F1320}"/>
            </c:ext>
          </c:extLst>
        </c:ser>
        <c:dLbls>
          <c:showLegendKey val="0"/>
          <c:showVal val="0"/>
          <c:showCatName val="0"/>
          <c:showSerName val="0"/>
          <c:showPercent val="0"/>
          <c:showBubbleSize val="0"/>
        </c:dLbls>
        <c:gapWidth val="219"/>
        <c:overlap val="-27"/>
        <c:axId val="420666432"/>
        <c:axId val="420667264"/>
      </c:barChart>
      <c:catAx>
        <c:axId val="42066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7264"/>
        <c:crosses val="autoZero"/>
        <c:auto val="1"/>
        <c:lblAlgn val="ctr"/>
        <c:lblOffset val="100"/>
        <c:noMultiLvlLbl val="0"/>
      </c:catAx>
      <c:valAx>
        <c:axId val="420667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Sheet1!$E$16:$E$26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B3B7-40B7-A3D9-E930FC68368D}"/>
            </c:ext>
          </c:extLst>
        </c:ser>
        <c:dLbls>
          <c:showLegendKey val="0"/>
          <c:showVal val="0"/>
          <c:showCatName val="0"/>
          <c:showSerName val="0"/>
          <c:showPercent val="0"/>
          <c:showBubbleSize val="0"/>
        </c:dLbls>
        <c:gapWidth val="219"/>
        <c:overlap val="-27"/>
        <c:axId val="420660608"/>
        <c:axId val="420661024"/>
      </c:barChart>
      <c:catAx>
        <c:axId val="42066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1024"/>
        <c:crosses val="autoZero"/>
        <c:auto val="1"/>
        <c:lblAlgn val="ctr"/>
        <c:lblOffset val="100"/>
        <c:noMultiLvlLbl val="0"/>
      </c:catAx>
      <c:valAx>
        <c:axId val="42066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66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Sheet1!$B$28</c:f>
              <c:strCache>
                <c:ptCount val="1"/>
                <c:pt idx="0">
                  <c:v>Total</c:v>
                </c:pt>
              </c:strCache>
            </c:strRef>
          </c:tx>
          <c:spPr>
            <a:ln w="28575" cap="rnd">
              <a:solidFill>
                <a:schemeClr val="accent1"/>
              </a:solidFill>
              <a:round/>
            </a:ln>
            <a:effectLst/>
          </c:spPr>
          <c:marker>
            <c:symbol val="none"/>
          </c:marker>
          <c:cat>
            <c:strRef>
              <c:f>Sheet1!$A$29:$A$53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Sheet1!$B$29:$B$53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B17C-403E-8F5A-DFDA613BE0F4}"/>
            </c:ext>
          </c:extLst>
        </c:ser>
        <c:dLbls>
          <c:showLegendKey val="0"/>
          <c:showVal val="0"/>
          <c:showCatName val="0"/>
          <c:showSerName val="0"/>
          <c:showPercent val="0"/>
          <c:showBubbleSize val="0"/>
        </c:dLbls>
        <c:smooth val="0"/>
        <c:axId val="602510512"/>
        <c:axId val="602516752"/>
      </c:lineChart>
      <c:catAx>
        <c:axId val="60251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16752"/>
        <c:crosses val="autoZero"/>
        <c:auto val="1"/>
        <c:lblAlgn val="ctr"/>
        <c:lblOffset val="100"/>
        <c:tickLblSkip val="2"/>
        <c:noMultiLvlLbl val="0"/>
      </c:catAx>
      <c:valAx>
        <c:axId val="602516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1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99060</xdr:colOff>
      <xdr:row>6</xdr:row>
      <xdr:rowOff>53340</xdr:rowOff>
    </xdr:from>
    <xdr:to>
      <xdr:col>6</xdr:col>
      <xdr:colOff>320040</xdr:colOff>
      <xdr:row>21</xdr:row>
      <xdr:rowOff>53340</xdr:rowOff>
    </xdr:to>
    <xdr:graphicFrame macro="">
      <xdr:nvGraphicFramePr>
        <xdr:cNvPr id="2" name="Chart 1">
          <a:extLst>
            <a:ext uri="{FF2B5EF4-FFF2-40B4-BE49-F238E27FC236}">
              <a16:creationId xmlns:a16="http://schemas.microsoft.com/office/drawing/2014/main" id="{7EEED737-B748-43D8-9449-7CCFBD71C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6</xdr:row>
      <xdr:rowOff>53340</xdr:rowOff>
    </xdr:from>
    <xdr:to>
      <xdr:col>13</xdr:col>
      <xdr:colOff>30480</xdr:colOff>
      <xdr:row>21</xdr:row>
      <xdr:rowOff>53340</xdr:rowOff>
    </xdr:to>
    <xdr:graphicFrame macro="">
      <xdr:nvGraphicFramePr>
        <xdr:cNvPr id="3" name="Chart 2">
          <a:extLst>
            <a:ext uri="{FF2B5EF4-FFF2-40B4-BE49-F238E27FC236}">
              <a16:creationId xmlns:a16="http://schemas.microsoft.com/office/drawing/2014/main" id="{34A52D6F-B428-4D45-8407-318D468A2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21</xdr:row>
      <xdr:rowOff>114300</xdr:rowOff>
    </xdr:from>
    <xdr:to>
      <xdr:col>6</xdr:col>
      <xdr:colOff>320040</xdr:colOff>
      <xdr:row>36</xdr:row>
      <xdr:rowOff>114300</xdr:rowOff>
    </xdr:to>
    <xdr:graphicFrame macro="">
      <xdr:nvGraphicFramePr>
        <xdr:cNvPr id="4" name="Chart 3">
          <a:extLst>
            <a:ext uri="{FF2B5EF4-FFF2-40B4-BE49-F238E27FC236}">
              <a16:creationId xmlns:a16="http://schemas.microsoft.com/office/drawing/2014/main" id="{E83ACBE3-D2D1-4FA5-ADA9-2E2702D90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373380</xdr:colOff>
      <xdr:row>21</xdr:row>
      <xdr:rowOff>129540</xdr:rowOff>
    </xdr:from>
    <xdr:to>
      <xdr:col>13</xdr:col>
      <xdr:colOff>53340</xdr:colOff>
      <xdr:row>36</xdr:row>
      <xdr:rowOff>129540</xdr:rowOff>
    </xdr:to>
    <xdr:graphicFrame macro="">
      <xdr:nvGraphicFramePr>
        <xdr:cNvPr id="5" name="Chart 4">
          <a:extLst>
            <a:ext uri="{FF2B5EF4-FFF2-40B4-BE49-F238E27FC236}">
              <a16:creationId xmlns:a16="http://schemas.microsoft.com/office/drawing/2014/main" id="{E36FCB9C-5191-4741-8D43-97277B58B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21</xdr:row>
      <xdr:rowOff>129540</xdr:rowOff>
    </xdr:from>
    <xdr:to>
      <xdr:col>19</xdr:col>
      <xdr:colOff>388620</xdr:colOff>
      <xdr:row>36</xdr:row>
      <xdr:rowOff>129540</xdr:rowOff>
    </xdr:to>
    <xdr:graphicFrame macro="">
      <xdr:nvGraphicFramePr>
        <xdr:cNvPr id="6" name="Chart 5">
          <a:extLst>
            <a:ext uri="{FF2B5EF4-FFF2-40B4-BE49-F238E27FC236}">
              <a16:creationId xmlns:a16="http://schemas.microsoft.com/office/drawing/2014/main" id="{702D190C-C26E-45DD-971C-8AE9D6723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91440</xdr:colOff>
      <xdr:row>6</xdr:row>
      <xdr:rowOff>53340</xdr:rowOff>
    </xdr:from>
    <xdr:to>
      <xdr:col>19</xdr:col>
      <xdr:colOff>358140</xdr:colOff>
      <xdr:row>21</xdr:row>
      <xdr:rowOff>53340</xdr:rowOff>
    </xdr:to>
    <xdr:graphicFrame macro="">
      <xdr:nvGraphicFramePr>
        <xdr:cNvPr id="7" name="Chart 6">
          <a:extLst>
            <a:ext uri="{FF2B5EF4-FFF2-40B4-BE49-F238E27FC236}">
              <a16:creationId xmlns:a16="http://schemas.microsoft.com/office/drawing/2014/main" id="{57757AD6-80B3-4A1E-BC12-16BB00182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76200</xdr:colOff>
      <xdr:row>2</xdr:row>
      <xdr:rowOff>15240</xdr:rowOff>
    </xdr:from>
    <xdr:to>
      <xdr:col>19</xdr:col>
      <xdr:colOff>381000</xdr:colOff>
      <xdr:row>5</xdr:row>
      <xdr:rowOff>167640</xdr:rowOff>
    </xdr:to>
    <xdr:sp macro="" textlink="Sheet1!F2">
      <xdr:nvSpPr>
        <xdr:cNvPr id="9" name="Rectangle: Rounded Corners 8">
          <a:extLst>
            <a:ext uri="{FF2B5EF4-FFF2-40B4-BE49-F238E27FC236}">
              <a16:creationId xmlns:a16="http://schemas.microsoft.com/office/drawing/2014/main" id="{765DDEC3-5D09-41FE-BA24-E25A4142C612}"/>
            </a:ext>
          </a:extLst>
        </xdr:cNvPr>
        <xdr:cNvSpPr/>
      </xdr:nvSpPr>
      <xdr:spPr>
        <a:xfrm>
          <a:off x="9829800" y="381000"/>
          <a:ext cx="2133600" cy="701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7E4845-A1CF-428A-9629-8B1608763571}"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19</xdr:col>
      <xdr:colOff>502920</xdr:colOff>
      <xdr:row>16</xdr:row>
      <xdr:rowOff>160020</xdr:rowOff>
    </xdr:from>
    <xdr:to>
      <xdr:col>22</xdr:col>
      <xdr:colOff>502920</xdr:colOff>
      <xdr:row>36</xdr:row>
      <xdr:rowOff>152400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3716C7F0-D947-4526-BCD2-5ABDA828AC2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085320" y="3086100"/>
              <a:ext cx="1828800" cy="3649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464820</xdr:colOff>
      <xdr:row>1</xdr:row>
      <xdr:rowOff>45720</xdr:rowOff>
    </xdr:from>
    <xdr:to>
      <xdr:col>22</xdr:col>
      <xdr:colOff>518160</xdr:colOff>
      <xdr:row>8</xdr:row>
      <xdr:rowOff>137160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D760FEA0-3EAB-F274-A46C-343369EAD50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047220" y="228600"/>
              <a:ext cx="18821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495300</xdr:colOff>
      <xdr:row>9</xdr:row>
      <xdr:rowOff>7620</xdr:rowOff>
    </xdr:from>
    <xdr:to>
      <xdr:col>22</xdr:col>
      <xdr:colOff>518160</xdr:colOff>
      <xdr:row>16</xdr:row>
      <xdr:rowOff>99060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FCA2152F-BC7D-2277-3EB8-C337C3ECF33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077700" y="1653540"/>
              <a:ext cx="18516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243840</xdr:colOff>
      <xdr:row>2</xdr:row>
      <xdr:rowOff>7620</xdr:rowOff>
    </xdr:from>
    <xdr:to>
      <xdr:col>15</xdr:col>
      <xdr:colOff>525780</xdr:colOff>
      <xdr:row>5</xdr:row>
      <xdr:rowOff>160020</xdr:rowOff>
    </xdr:to>
    <xdr:sp macro="" textlink="Sheet1!D2">
      <xdr:nvSpPr>
        <xdr:cNvPr id="15" name="Rectangle: Rounded Corners 14">
          <a:extLst>
            <a:ext uri="{FF2B5EF4-FFF2-40B4-BE49-F238E27FC236}">
              <a16:creationId xmlns:a16="http://schemas.microsoft.com/office/drawing/2014/main" id="{B782238D-DBD4-4A52-BF60-16C6CDB5BC52}"/>
            </a:ext>
          </a:extLst>
        </xdr:cNvPr>
        <xdr:cNvSpPr/>
      </xdr:nvSpPr>
      <xdr:spPr>
        <a:xfrm>
          <a:off x="7559040" y="373380"/>
          <a:ext cx="2110740" cy="701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E27EA23-E3DB-4155-A601-CB1BEFF450AC}"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IN" sz="1600"/>
        </a:p>
      </xdr:txBody>
    </xdr:sp>
    <xdr:clientData/>
  </xdr:twoCellAnchor>
  <xdr:twoCellAnchor>
    <xdr:from>
      <xdr:col>8</xdr:col>
      <xdr:colOff>502920</xdr:colOff>
      <xdr:row>2</xdr:row>
      <xdr:rowOff>0</xdr:rowOff>
    </xdr:from>
    <xdr:to>
      <xdr:col>12</xdr:col>
      <xdr:colOff>91440</xdr:colOff>
      <xdr:row>5</xdr:row>
      <xdr:rowOff>152400</xdr:rowOff>
    </xdr:to>
    <xdr:sp macro="" textlink="Sheet1!E2">
      <xdr:nvSpPr>
        <xdr:cNvPr id="16" name="Rectangle: Rounded Corners 15">
          <a:extLst>
            <a:ext uri="{FF2B5EF4-FFF2-40B4-BE49-F238E27FC236}">
              <a16:creationId xmlns:a16="http://schemas.microsoft.com/office/drawing/2014/main" id="{C6C15BBC-7629-4F3B-A2F6-5D3982B81F16}"/>
            </a:ext>
          </a:extLst>
        </xdr:cNvPr>
        <xdr:cNvSpPr/>
      </xdr:nvSpPr>
      <xdr:spPr>
        <a:xfrm>
          <a:off x="5379720" y="365760"/>
          <a:ext cx="2026920" cy="701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BD5B80E-D636-4182-B40D-43F3D9233370}"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5</xdr:col>
      <xdr:colOff>129540</xdr:colOff>
      <xdr:row>2</xdr:row>
      <xdr:rowOff>7620</xdr:rowOff>
    </xdr:from>
    <xdr:to>
      <xdr:col>8</xdr:col>
      <xdr:colOff>327660</xdr:colOff>
      <xdr:row>5</xdr:row>
      <xdr:rowOff>160020</xdr:rowOff>
    </xdr:to>
    <xdr:sp macro="" textlink="Sheet1!G2">
      <xdr:nvSpPr>
        <xdr:cNvPr id="17" name="Rectangle: Rounded Corners 16">
          <a:extLst>
            <a:ext uri="{FF2B5EF4-FFF2-40B4-BE49-F238E27FC236}">
              <a16:creationId xmlns:a16="http://schemas.microsoft.com/office/drawing/2014/main" id="{D0F745A9-0D5F-433E-A8A6-72C207D7F3C4}"/>
            </a:ext>
          </a:extLst>
        </xdr:cNvPr>
        <xdr:cNvSpPr/>
      </xdr:nvSpPr>
      <xdr:spPr>
        <a:xfrm>
          <a:off x="3177540" y="373380"/>
          <a:ext cx="2026920" cy="701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0FC4603-7F8C-443B-BA4E-767C40DC1431}"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0</xdr:col>
      <xdr:colOff>114300</xdr:colOff>
      <xdr:row>2</xdr:row>
      <xdr:rowOff>0</xdr:rowOff>
    </xdr:from>
    <xdr:to>
      <xdr:col>4</xdr:col>
      <xdr:colOff>533400</xdr:colOff>
      <xdr:row>5</xdr:row>
      <xdr:rowOff>152400</xdr:rowOff>
    </xdr:to>
    <xdr:sp macro="" textlink="">
      <xdr:nvSpPr>
        <xdr:cNvPr id="19" name="Rectangle: Rounded Corners 18">
          <a:extLst>
            <a:ext uri="{FF2B5EF4-FFF2-40B4-BE49-F238E27FC236}">
              <a16:creationId xmlns:a16="http://schemas.microsoft.com/office/drawing/2014/main" id="{4248D820-5ED5-4BCE-A309-D4685936D26E}"/>
            </a:ext>
          </a:extLst>
        </xdr:cNvPr>
        <xdr:cNvSpPr/>
      </xdr:nvSpPr>
      <xdr:spPr>
        <a:xfrm>
          <a:off x="114300" y="365760"/>
          <a:ext cx="2857500" cy="7010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Sales Analysis</a:t>
          </a:r>
        </a:p>
      </xdr:txBody>
    </xdr:sp>
    <xdr:clientData/>
  </xdr:twoCellAnchor>
  <xdr:twoCellAnchor editAs="oneCell">
    <xdr:from>
      <xdr:col>0</xdr:col>
      <xdr:colOff>175261</xdr:colOff>
      <xdr:row>2</xdr:row>
      <xdr:rowOff>53339</xdr:rowOff>
    </xdr:from>
    <xdr:to>
      <xdr:col>1</xdr:col>
      <xdr:colOff>160022</xdr:colOff>
      <xdr:row>5</xdr:row>
      <xdr:rowOff>99060</xdr:rowOff>
    </xdr:to>
    <xdr:pic>
      <xdr:nvPicPr>
        <xdr:cNvPr id="21" name="Picture 20">
          <a:extLst>
            <a:ext uri="{FF2B5EF4-FFF2-40B4-BE49-F238E27FC236}">
              <a16:creationId xmlns:a16="http://schemas.microsoft.com/office/drawing/2014/main" id="{86AD7B94-B8FC-2119-45F8-0EBFAA934C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5261" y="419099"/>
          <a:ext cx="594361" cy="59436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759012847222" backgroundQuery="1" createdVersion="7" refreshedVersion="7" minRefreshableVersion="3" recordCount="0" supportSubquery="1" supportAdvancedDrill="1" xr:uid="{0C00505F-67C1-41F5-B2C4-28916CB6579E}">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759028009263" backgroundQuery="1" createdVersion="7" refreshedVersion="7" minRefreshableVersion="3" recordCount="0" supportSubquery="1" supportAdvancedDrill="1" xr:uid="{0558EF0F-4455-4A0F-8DE1-294F133167E6}">
  <cacheSource type="external" connectionId="9"/>
  <cacheFields count="4">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759028356479" backgroundQuery="1" createdVersion="7" refreshedVersion="7" minRefreshableVersion="3" recordCount="0" supportSubquery="1" supportAdvancedDrill="1" xr:uid="{F279A9AC-4BA9-4A4A-8E05-354AD0CDD693}">
  <cacheSource type="external" connectionId="9"/>
  <cacheFields count="5">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759028703702" backgroundQuery="1" createdVersion="7" refreshedVersion="7" minRefreshableVersion="3" recordCount="0" supportSubquery="1" supportAdvancedDrill="1" xr:uid="{ED59404E-FA67-48E2-8DE5-CF3ECD4F6B90}">
  <cacheSource type="external" connectionId="9"/>
  <cacheFields count="3">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759029166664" backgroundQuery="1" createdVersion="7" refreshedVersion="7" minRefreshableVersion="3" recordCount="0" supportSubquery="1" supportAdvancedDrill="1" xr:uid="{0A5CF99D-EACA-4C26-BC13-2212AD9748E1}">
  <cacheSource type="external" connectionId="9"/>
  <cacheFields count="5">
    <cacheField name="[Measures].[Average of diff_order_delivery]" caption="Average of diff_order_delivery" numFmtId="0" hierarchy="43" level="32767"/>
    <cacheField name="[Measures].[Sum of Revenue]" caption="Sum of Revenue" numFmtId="0" hierarchy="41" level="32767"/>
    <cacheField name="[Measures].[Average of Revenue]" caption="Average of Revenue" numFmtId="0" hierarchy="44" level="32767"/>
    <cacheField name="[Measures].[Count of Order_ID]" caption="Count of Order_ID" numFmtId="0" hierarchy="46" level="32767"/>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759029513887" backgroundQuery="1" createdVersion="7" refreshedVersion="7" minRefreshableVersion="3" recordCount="0" supportSubquery="1" supportAdvancedDrill="1" xr:uid="{35DFBF4A-0ACD-41C6-8720-C75DB343951D}">
  <cacheSource type="external" connectionId="9"/>
  <cacheFields count="4">
    <cacheField name="[Measures].[Sum of Revenue]" caption="Sum of Revenue" numFmtId="0" hierarchy="4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75902986111" backgroundQuery="1" createdVersion="7" refreshedVersion="7" minRefreshableVersion="3" recordCount="0" supportSubquery="1" supportAdvancedDrill="1" xr:uid="{3E546CA3-ABCC-4450-821A-DB30F7FE6A18}">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6" level="32767"/>
    <cacheField name="[Orders].[Occasion].[Occasion]" caption="Occasion" numFmtId="0" hierarchy="23" level="1">
      <sharedItems containsSemiMixedTypes="0" containsNonDate="0" containsString="0"/>
    </cacheField>
  </cacheFields>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155506249997" backgroundQuery="1" createdVersion="3" refreshedVersion="7" minRefreshableVersion="3" recordCount="0" supportSubquery="1" supportAdvancedDrill="1" xr:uid="{8F6C9108-C503-4EB9-9930-118FE611A20A}">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2270332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242.171940509259" backgroundQuery="1" createdVersion="3" refreshedVersion="7" minRefreshableVersion="3" recordCount="0" supportSubquery="1" supportAdvancedDrill="1" xr:uid="{46F3D902-15E1-4158-BF93-2EC35D9B74A3}">
  <cacheSource type="external" connectionId="9">
    <extLst>
      <ext xmlns:x14="http://schemas.microsoft.com/office/spreadsheetml/2009/9/main" uri="{F057638F-6D5F-4e77-A914-E7F072B9BCA8}">
        <x14:sourceConnection name="ThisWorkbookDataModel"/>
      </ext>
    </extLst>
  </cacheSource>
  <cacheFields count="0"/>
  <cacheHierarchies count="4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 caption="__XL_Count fnp dataset" measure="1" displayFolder="" measureGroup="fnp 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4665145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826FBA-C551-4F04-868F-427389DE8B8C}" name="PivotTable6" cacheId="185" applyNumberFormats="0" applyBorderFormats="0" applyFontFormats="0" applyPatternFormats="0" applyAlignmentFormats="0" applyWidthHeightFormats="1" dataCaption="Values" tag="3e5c9cf5-8fdc-4aad-b9c1-901b142a5b3a" updatedVersion="7" minRefreshableVersion="5" useAutoFormatting="1" subtotalHiddenItems="1" itemPrintTitles="1" createdVersion="7" indent="0" outline="1" outlineData="1" multipleFieldFilters="0" chartFormat="5">
  <location ref="G11:H1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889A8-7AC7-445A-954A-35B428CC7AFB}" name="PivotTable1" cacheId="197" applyNumberFormats="0" applyBorderFormats="0" applyFontFormats="0" applyPatternFormats="0" applyAlignmentFormats="0" applyWidthHeightFormats="1" dataCaption="Values" tag="0ddbb985-d580-437c-a555-080acc17be2c" updatedVersion="7" minRefreshableVersion="5" useAutoFormatting="1" subtotalHiddenItems="1" itemPrintTitles="1" createdVersion="7"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B77D1F-2E8E-4952-89D4-58A1112B32B4}" name="PivotTable5" cacheId="206" applyNumberFormats="0" applyBorderFormats="0" applyFontFormats="0" applyPatternFormats="0" applyAlignmentFormats="0" applyWidthHeightFormats="1" dataCaption="Values" tag="830aab73-96d0-4e0f-974a-a8fa12df9285" updatedVersion="7" minRefreshableVersion="5" useAutoFormatting="1" subtotalHiddenItems="1" itemPrintTitles="1" createdVersion="7" indent="0" outline="1" outlineData="1" multipleFieldFilters="0" chartFormat="5">
  <location ref="D15:E2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719AAC-B933-4EE1-BE02-8DE8CC7C2F47}" name="PivotTable4" cacheId="203" applyNumberFormats="0" applyBorderFormats="0" applyFontFormats="0" applyPatternFormats="0" applyAlignmentFormats="0" applyWidthHeightFormats="1" dataCaption="Values" tag="bc0948b3-8fd8-49d1-8560-d0d8a89855ec" updatedVersion="7" minRefreshableVersion="5" useAutoFormatting="1" subtotalHiddenItems="1" itemPrintTitles="1" createdVersion="7" indent="0" outline="1" outlineData="1" multipleFieldFilters="0" chartFormat="5">
  <location ref="A16: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9B295C-2FF6-4899-A57E-74C58578AC17}" name="PivotTable3" cacheId="191" applyNumberFormats="0" applyBorderFormats="0" applyFontFormats="0" applyPatternFormats="0" applyAlignmentFormats="0" applyWidthHeightFormats="1" dataCaption="Values" tag="ed529e95-e141-402f-a8c8-e4b671890427" updatedVersion="7" minRefreshableVersion="5" useAutoFormatting="1" subtotalHiddenItems="1" itemPrintTitles="1" createdVersion="7" indent="0" outline="1" outlineData="1" multipleFieldFilters="0" chartFormat="5">
  <location ref="D5: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D70A2F-8D5E-49D5-BCA5-25F46B89AC5D}" name="PivotTable2" cacheId="200" applyNumberFormats="0" applyBorderFormats="0" applyFontFormats="0" applyPatternFormats="0" applyAlignmentFormats="0" applyWidthHeightFormats="1" dataCaption="Values" tag="c3a6d4cb-2156-4a50-9603-0d3e1976605a" updatedVersion="7" minRefreshableVersion="5" useAutoFormatting="1" subtotalHiddenItems="1" itemPrintTitles="1" createdVersion="7"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diff_order_delivery" fld="0" subtotal="average" baseField="0" baseItem="0"/>
    <dataField name="Sum of Revenue" fld="1" baseField="0" baseItem="0"/>
    <dataField name="Average of customer spending" fld="2" subtotal="average" baseField="0" baseItem="2"/>
    <dataField name="Total orders placed" fld="3" subtotal="count" baseField="0" baseItem="3"/>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B4160D-E1EB-4834-8E92-0B0F736D4AAF}" name="PivotTable7" cacheId="194" applyNumberFormats="0" applyBorderFormats="0" applyFontFormats="0" applyPatternFormats="0" applyAlignmentFormats="0" applyWidthHeightFormats="1" dataCaption="Values" tag="b9434f0c-90d2-4469-ba1b-aa85edc72cdb" updatedVersion="7" minRefreshableVersion="5" useAutoFormatting="1" subtotalHiddenItems="1" itemPrintTitles="1" createdVersion="7" indent="0" outline="1" outlineData="1" multipleFieldFilters="0" chartFormat="10">
  <location ref="A28:B5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F8077F5-19D9-49F5-A136-1E83DAFD041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4FF9E45-3997-4908-A0ED-71E5F8BABC8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89A835E-7D1B-4BF6-B3A1-564A9FCFC71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B5883D9-7438-43D1-9581-E8B9A9F2BE7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126FD4F-12F3-45AE-AAF6-BCB461FCD707}" sourceName="[Orders].[Occasion]">
  <pivotTables>
    <pivotTable tabId="1" name="PivotTable3"/>
    <pivotTable tabId="1" name="PivotTable7"/>
    <pivotTable tabId="1" name="PivotTable1"/>
    <pivotTable tabId="1" name="PivotTable2"/>
    <pivotTable tabId="1" name="PivotTable4"/>
    <pivotTable tabId="1" name="PivotTable5"/>
  </pivotTables>
  <data>
    <olap pivotCacheId="22270332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35DFEDE-AFD6-429C-9647-E7DF8E191D13}"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D5C21-266C-4598-B727-3F50F411ABAD}" name="fnp_dataset" displayName="fnp_dataset" ref="A1:F4" tableType="queryTable" totalsRowShown="0">
  <autoFilter ref="A1:F4" xr:uid="{58BD5C21-266C-4598-B727-3F50F411ABAD}"/>
  <tableColumns count="6">
    <tableColumn id="1" xr3:uid="{FCD9154C-2A37-4A36-9A6C-E9A58563DF3A}" uniqueName="1" name="Name" queryTableFieldId="1" dataDxfId="23"/>
    <tableColumn id="2" xr3:uid="{F192E482-A3B7-48FC-BC19-3A90458A317D}" uniqueName="2" name="Extension" queryTableFieldId="2" dataDxfId="22"/>
    <tableColumn id="3" xr3:uid="{1DB356D5-BB3C-42B6-B8F8-0ED4AECB429F}" uniqueName="3" name="Date accessed" queryTableFieldId="3" dataDxfId="21"/>
    <tableColumn id="4" xr3:uid="{80E1AAC6-1A06-410D-A558-F6AA869F5F30}" uniqueName="4" name="Date modified" queryTableFieldId="4" dataDxfId="20"/>
    <tableColumn id="5" xr3:uid="{E084148F-C2AD-4D7C-AAAB-FF18EE773E37}" uniqueName="5" name="Date created" queryTableFieldId="5" dataDxfId="19"/>
    <tableColumn id="6" xr3:uid="{7FF387D1-AF1B-4752-B545-A89052DD1CB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86AB2D-AEBE-4082-906F-E2014A7D1610}" name="Customer" displayName="Customer" ref="A1:G101" tableType="queryTable" totalsRowShown="0">
  <autoFilter ref="A1:G101" xr:uid="{3086AB2D-AEBE-4082-906F-E2014A7D1610}"/>
  <tableColumns count="7">
    <tableColumn id="1" xr3:uid="{252ACD49-A9CE-4AFB-88DB-F0BF8CC7BF78}" uniqueName="1" name="Customer_ID" queryTableFieldId="1" dataDxfId="17"/>
    <tableColumn id="2" xr3:uid="{D315B7C2-FD9E-46E1-ACD3-27E83ADC0660}" uniqueName="2" name="Name" queryTableFieldId="2" dataDxfId="16"/>
    <tableColumn id="3" xr3:uid="{0E9FFB70-3DD6-44BD-8FCA-0034310CA9D6}" uniqueName="3" name="City" queryTableFieldId="3" dataDxfId="15"/>
    <tableColumn id="4" xr3:uid="{2A32F02E-B770-4A5E-954B-162B91A79664}" uniqueName="4" name="Contact_Number" queryTableFieldId="4" dataDxfId="14"/>
    <tableColumn id="5" xr3:uid="{A8C4690D-2E39-4949-ADC7-AC813BDCB475}" uniqueName="5" name="Email" queryTableFieldId="5" dataDxfId="13"/>
    <tableColumn id="6" xr3:uid="{D390C7E6-0F10-418F-8D9C-91D341B002A3}" uniqueName="6" name="Gender" queryTableFieldId="6" dataDxfId="12"/>
    <tableColumn id="7" xr3:uid="{15091DC6-0332-4F77-B0F1-298371475FF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987C1B-FC4E-483D-866E-CAC1D680F700}" name="Orders" displayName="Orders" ref="A1:Q1001" tableType="queryTable" totalsRowShown="0">
  <autoFilter ref="A1:Q1001" xr:uid="{14987C1B-FC4E-483D-866E-CAC1D680F700}"/>
  <tableColumns count="17">
    <tableColumn id="1" xr3:uid="{9E2923BC-B545-4483-AB0E-CD998066B587}" uniqueName="1" name="Order_ID" queryTableFieldId="1"/>
    <tableColumn id="2" xr3:uid="{8E5D2A2E-4605-4075-A6A9-F59BC3F58788}" uniqueName="2" name="Customer_ID" queryTableFieldId="2" dataDxfId="10"/>
    <tableColumn id="3" xr3:uid="{15DFB19F-BF43-4442-BCC5-F15BDC7558CE}" uniqueName="3" name="Product_ID" queryTableFieldId="3"/>
    <tableColumn id="4" xr3:uid="{ED1DC07E-A692-4F2F-BE8B-4A92401AE56C}" uniqueName="4" name="Quantity" queryTableFieldId="4"/>
    <tableColumn id="5" xr3:uid="{B770830A-0C18-4017-AD77-CE158B8429ED}" uniqueName="5" name="Order_Date" queryTableFieldId="5" dataDxfId="9"/>
    <tableColumn id="6" xr3:uid="{77BE408A-B2CC-4A35-9C6F-312CB5F05601}" uniqueName="6" name="Order_Time" queryTableFieldId="6" dataDxfId="8"/>
    <tableColumn id="7" xr3:uid="{0AA355BC-0405-4BBA-A1B7-BECB7A939346}" uniqueName="7" name="Delivery_Date" queryTableFieldId="7" dataDxfId="7"/>
    <tableColumn id="8" xr3:uid="{1F73AD6F-5276-4E20-BAB6-EDAC4D834153}" uniqueName="8" name="Delivery_Time" queryTableFieldId="8" dataDxfId="6"/>
    <tableColumn id="9" xr3:uid="{F786BD74-ED26-4E2C-8115-422D968EEB82}" uniqueName="9" name="Location" queryTableFieldId="9" dataDxfId="5"/>
    <tableColumn id="10" xr3:uid="{AD61C49B-3943-4491-9BBE-2BD92C89C3AB}" uniqueName="10" name="Occasion" queryTableFieldId="10" dataDxfId="4"/>
    <tableColumn id="11" xr3:uid="{98D5AB8E-24A3-4CB1-B22B-A62682A7B48C}" uniqueName="11" name="Month Name" queryTableFieldId="11" dataDxfId="3"/>
    <tableColumn id="12" xr3:uid="{3B5F845B-53F8-4524-AB23-F02C94570AEA}" uniqueName="12" name="Hour (Order time)" queryTableFieldId="12"/>
    <tableColumn id="13" xr3:uid="{AA259434-031F-4C05-8F49-1A9EC7C8D083}" uniqueName="13" name="diff_order_delivery" queryTableFieldId="13"/>
    <tableColumn id="14" xr3:uid="{438C3DC5-CD24-43D4-9B3F-F63802ED93F1}" uniqueName="14" name="Hour (delivery time)" queryTableFieldId="14"/>
    <tableColumn id="15" xr3:uid="{DA023D21-EFB4-4EDC-B3E9-3296D7A89546}" uniqueName="15" name="Price (INR)" queryTableFieldId="15"/>
    <tableColumn id="16" xr3:uid="{4BDC135A-0F70-46FC-81BE-64F206DC3615}" uniqueName="16" name="Revenue" queryTableFieldId="16"/>
    <tableColumn id="18" xr3:uid="{71375DF5-6241-46CA-912E-78CE12BBC990}"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4718CE-888C-465B-B373-866B96ED9942}" name="Products" displayName="Products" ref="A1:E71" tableType="queryTable" totalsRowShown="0">
  <autoFilter ref="A1:E71" xr:uid="{F44718CE-888C-465B-B373-866B96ED9942}"/>
  <tableColumns count="5">
    <tableColumn id="1" xr3:uid="{E683DD2C-8E6C-4F3F-8FA0-CDE8D4988962}" uniqueName="1" name="Product_ID" queryTableFieldId="1"/>
    <tableColumn id="2" xr3:uid="{7AF34F42-B2CC-4348-8B45-FE4385AC6516}" uniqueName="2" name="Product_Name" queryTableFieldId="2" dataDxfId="2"/>
    <tableColumn id="3" xr3:uid="{E1DC318A-A5DB-4BFE-A4A9-755D4581CA76}" uniqueName="3" name="Category" queryTableFieldId="3" dataDxfId="1"/>
    <tableColumn id="4" xr3:uid="{31DE2771-3E53-4B1E-A542-40A107ACA37A}" uniqueName="4" name="Price (INR)" queryTableFieldId="4"/>
    <tableColumn id="5" xr3:uid="{3AD09B64-C99A-4D81-8681-DC6A6133330A}"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9F1E965-42CC-486E-A297-5FBEC5910A21}" sourceName="[Orders].[Order_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46651452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EA61D6A-2CE2-406E-AC7A-A700138C9A3E}" sourceName="[Orders].[Delivery_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4665145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1409F3B-520E-408B-8A85-878AE506C241}" cache="Timeline_Order_Date" caption="Order_Date" level="3" selectionLevel="3" scrollPosition="2023-07-29T00:00:00"/>
  <timeline name="Delivery_Date" xr10:uid="{C0889730-B7E2-4952-A719-E3F699BC6491}"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D0CF-BF99-4267-8EE6-DE66B3992E8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6.109375" bestFit="1" customWidth="1"/>
  </cols>
  <sheetData>
    <row r="1" spans="1:6" x14ac:dyDescent="0.3">
      <c r="A1" t="s">
        <v>0</v>
      </c>
      <c r="B1" t="s">
        <v>1</v>
      </c>
      <c r="C1" t="s">
        <v>2</v>
      </c>
      <c r="D1" t="s">
        <v>3</v>
      </c>
      <c r="E1" t="s">
        <v>4</v>
      </c>
      <c r="F1" t="s">
        <v>5</v>
      </c>
    </row>
    <row r="2" spans="1:6" x14ac:dyDescent="0.3">
      <c r="A2" t="s">
        <v>6</v>
      </c>
      <c r="B2" t="s">
        <v>7</v>
      </c>
      <c r="C2" s="1">
        <v>46242.111030632717</v>
      </c>
      <c r="D2" s="1">
        <v>46242.111020987657</v>
      </c>
      <c r="E2" s="1">
        <v>46242.111017669755</v>
      </c>
      <c r="F2" t="s">
        <v>8</v>
      </c>
    </row>
    <row r="3" spans="1:6" x14ac:dyDescent="0.3">
      <c r="A3" t="s">
        <v>9</v>
      </c>
      <c r="B3" t="s">
        <v>7</v>
      </c>
      <c r="C3" s="1">
        <v>46242.111143711423</v>
      </c>
      <c r="D3" s="1">
        <v>46242.111142438269</v>
      </c>
      <c r="E3" s="1">
        <v>46242.111139969136</v>
      </c>
      <c r="F3" t="s">
        <v>8</v>
      </c>
    </row>
    <row r="4" spans="1:6" x14ac:dyDescent="0.3">
      <c r="A4" t="s">
        <v>10</v>
      </c>
      <c r="B4" t="s">
        <v>7</v>
      </c>
      <c r="C4" s="1">
        <v>46242.115186381176</v>
      </c>
      <c r="D4" s="1">
        <v>46242.115172260805</v>
      </c>
      <c r="E4" s="1">
        <v>46242.111246334876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FE5C-7C2E-4D0A-9C48-0EDD8F1ADF3A}">
  <dimension ref="A1:G101"/>
  <sheetViews>
    <sheetView workbookViewId="0">
      <selection activeCell="J16" sqref="J16"/>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3190-EDBD-4B8F-9A45-B8ED0C505D62}">
  <dimension ref="A1:Q1001"/>
  <sheetViews>
    <sheetView topLeftCell="J1" workbookViewId="0">
      <selection activeCell="R24" sqref="R2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21875" bestFit="1" customWidth="1"/>
    <col min="13" max="13" width="19.5546875" bestFit="1" customWidth="1"/>
    <col min="14" max="14" width="20.21875" bestFit="1" customWidth="1"/>
    <col min="15" max="15" width="12.109375" bestFit="1" customWidth="1"/>
    <col min="16" max="16" width="10.5546875" bestFit="1" customWidth="1"/>
    <col min="17" max="17" width="22.441406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932</v>
      </c>
      <c r="Q1" t="s">
        <v>940</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933</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934</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935</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933</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936</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933</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933</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936</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936</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933</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933</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933</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937</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937</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937</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938</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934</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933</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933</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934</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933</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936</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936</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933</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936</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934</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936</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938</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939</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935</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938</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935</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933</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933</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933</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933</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937</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934</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934</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935</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936</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933</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937</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934</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933</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936</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937</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938</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938</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936</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936</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934</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938</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936</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933</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936</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939</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937</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938</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933</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933</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936</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933</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934</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937</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933</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933</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936</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934</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935</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935</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937</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936</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936</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933</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935</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933</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938</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933</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939</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938</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934</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933</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934</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935</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936</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937</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935</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934</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936</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936</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939</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933</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933</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936</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937</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933</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938</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934</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937</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939</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936</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935</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937</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939</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937</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936</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936</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936</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937</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937</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933</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937</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935</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934</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938</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936</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936</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935</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939</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939</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936</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936</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936</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934</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937</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934</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933</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937</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937</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935</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937</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935</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938</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938</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937</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939</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936</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935</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938</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938</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938</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936</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936</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938</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938</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936</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936</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938</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937</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939</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939</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939</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936</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938</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933</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936</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936</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938</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937</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936</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936</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937</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938</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938</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938</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936</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937</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937</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936</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939</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938</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937</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938</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938</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938</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936</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939</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936</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938</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936</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937</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939</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939</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938</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933</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936</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935</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933</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939</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939</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937</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936</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936</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935</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936</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938</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938</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938</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937</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934</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937</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939</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939</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938</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937</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936</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937</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934</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936</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938</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938</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939</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934</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938</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936</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937</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933</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935</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938</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935</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934</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935</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935</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933</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937</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936</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936</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939</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934</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935</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939</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934</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936</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934</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938</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937</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938</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936</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934</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936</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939</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939</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936</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939</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933</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939</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938</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938</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934</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933</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938</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936</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933</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933</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937</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939</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933</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939</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939</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938</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933</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935</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935</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933</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933</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939</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933</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933</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936</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936</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933</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933</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935</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933</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935</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936</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936</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934</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936</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937</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936</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936</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936</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937</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933</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939</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937</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935</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937</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934</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939</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937</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938</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938</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934</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937</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933</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935</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935</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935</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933</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934</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935</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935</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937</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935</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935</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936</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938</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936</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934</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938</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939</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933</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937</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938</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936</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939</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939</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934</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934</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937</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937</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939</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938</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938</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936</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934</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938</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935</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939</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935</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937</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935</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936</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939</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934</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939</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938</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935</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933</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936</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935</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939</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937</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935</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939</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937</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937</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939</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935</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934</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936</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933</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935</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935</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938</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935</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938</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936</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939</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936</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938</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937</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937</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938</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936</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936</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937</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937</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933</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938</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935</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939</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934</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939</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933</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936</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936</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936</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938</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938</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936</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936</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933</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935</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934</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936</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938</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933</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936</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939</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936</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939</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938</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936</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937</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939</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936</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939</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938</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933</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933</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938</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934</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938</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938</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934</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937</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938</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936</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935</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936</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939</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937</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936</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936</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936</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938</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938</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934</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937</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936</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933</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938</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938</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935</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938</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939</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936</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938</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936</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938</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939</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933</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937</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934</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937</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937</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937</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938</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936</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938</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936</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936</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935</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938</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935</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936</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938</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938</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937</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936</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934</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936</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937</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937</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938</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935</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936</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938</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936</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935</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934</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935</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937</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938</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938</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937</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934</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938</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934</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938</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938</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937</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938</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935</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934</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939</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935</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933</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937</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935</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939</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938</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937</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938</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938</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936</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938</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934</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936</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933</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938</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937</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938</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937</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935</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938</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938</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933</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938</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938</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936</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938</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936</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938</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935</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937</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935</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933</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935</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936</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937</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934</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933</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936</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934</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937</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939</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938</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938</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936</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933</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937</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938</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937</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937</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937</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938</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933</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938</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935</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934</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935</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933</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938</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937</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939</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938</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934</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934</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939</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936</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933</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938</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938</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938</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936</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934</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935</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939</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934</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937</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937</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935</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938</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937</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934</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935</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938</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938</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937</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937</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934</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936</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934</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934</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933</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938</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934</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933</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934</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939</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938</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933</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936</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938</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935</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939</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933</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935</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938</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939</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934</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939</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939</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933</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934</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933</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933</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939</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934</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939</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939</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935</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937</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937</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933</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933</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939</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935</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935</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939</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938</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933</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935</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939</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939</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934</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937</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937</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939</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933</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935</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936</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933</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933</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937</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934</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938</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934</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937</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936</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939</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936</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935</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939</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933</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937</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936</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939</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939</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933</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939</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935</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934</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936</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934</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934</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939</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936</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939</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933</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938</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933</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939</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937</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933</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938</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935</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934</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939</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938</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937</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939</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935</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939</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939</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939</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935</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934</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938</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933</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934</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935</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939</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936</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937</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935</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935</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939</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939</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936</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935</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939</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937</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934</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938</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938</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935</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936</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937</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936</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939</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937</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934</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938</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935</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934</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935</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935</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937</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936</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938</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935</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938</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937</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933</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936</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937</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934</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936</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936</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935</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934</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933</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935</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933</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938</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935</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935</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939</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933</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934</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938</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934</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934</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935</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934</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939</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938</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938</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938</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936</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933</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936</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936</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935</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935</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938</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939</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935</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933</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937</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933</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936</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933</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933</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938</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933</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938</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937</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936</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938</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939</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936</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935</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937</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936</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936</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933</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937</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939</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934</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937</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937</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937</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937</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935</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939</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934</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935</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937</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937</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937</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937</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933</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935</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938</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936</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933</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938</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935</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938</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936</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939</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939</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937</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936</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939</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936</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935</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937</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936</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934</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935</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934</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935</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937</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933</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938</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935</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935</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936</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933</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936</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933</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936</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935</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936</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939</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934</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936</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934</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936</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934</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938</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935</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936</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933</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936</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935</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938</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939</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938</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939</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937</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935</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936</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939</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939</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936</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935</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933</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934</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936</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935</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934</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933</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938</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937</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935</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938</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938</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936</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933</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936</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935</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934</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939</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934</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938</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938</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938</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936</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935</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939</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937</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934</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935</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936</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935</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933</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939</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939</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935</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933</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935</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933</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936</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939</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936</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935</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935</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939</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937</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939</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935</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935</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939</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935</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937</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934</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937</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935</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934</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938</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939</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937</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937</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935</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938</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937</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938</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939</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936</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938</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936</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938</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934</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936</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933</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936</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939</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934</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938</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933</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938</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937</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938</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934</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939</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936</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937</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934</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939</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935</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933</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933</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939</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935</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934</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934</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939</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938</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938</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936</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937</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937</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937</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938</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939</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933</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935</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935</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936</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933</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933</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935</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935</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938</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934</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934</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934</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935</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936</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933</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937</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933</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939</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935</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937</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935</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938</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933</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939</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935</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934</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939</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939</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933</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936</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933</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933</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934</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937</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936</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939</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937</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937</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937</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937</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934</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934</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935</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935</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936</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938</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935</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933</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935</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938</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939</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934</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935</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935</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937</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936</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933</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934</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934</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936</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938</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937</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939</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933</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933</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936</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935</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939</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935</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939</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936</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935</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939</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936</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936</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D27BF-C679-4B72-A4A2-6B44DE369565}">
  <dimension ref="A1:E71"/>
  <sheetViews>
    <sheetView workbookViewId="0">
      <selection activeCell="H31" sqref="H3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A76F6-653E-476C-A869-3F3657BA0534}">
  <dimension ref="A1:H53"/>
  <sheetViews>
    <sheetView workbookViewId="0">
      <selection activeCell="A6" sqref="A6"/>
    </sheetView>
  </sheetViews>
  <sheetFormatPr defaultRowHeight="14.4" x14ac:dyDescent="0.3"/>
  <cols>
    <col min="1" max="1" width="14.44140625" bestFit="1" customWidth="1"/>
    <col min="2" max="2" width="14.88671875" bestFit="1" customWidth="1"/>
    <col min="4" max="4" width="13.6640625" bestFit="1" customWidth="1"/>
    <col min="5" max="5" width="16.44140625" bestFit="1" customWidth="1"/>
    <col min="6" max="6" width="27" bestFit="1" customWidth="1"/>
    <col min="7" max="7" width="17.21875" bestFit="1" customWidth="1"/>
    <col min="8" max="8" width="14.88671875" bestFit="1" customWidth="1"/>
    <col min="9" max="17" width="9.5546875" bestFit="1" customWidth="1"/>
    <col min="18" max="18" width="8" bestFit="1" customWidth="1"/>
    <col min="19" max="23" width="9.5546875" bestFit="1" customWidth="1"/>
    <col min="24" max="24" width="8" bestFit="1" customWidth="1"/>
    <col min="25" max="25" width="9.5546875" bestFit="1" customWidth="1"/>
    <col min="26" max="26" width="8" bestFit="1" customWidth="1"/>
    <col min="27" max="36" width="9.5546875" bestFit="1" customWidth="1"/>
    <col min="37" max="37" width="8" bestFit="1" customWidth="1"/>
    <col min="38" max="39" width="9.5546875" bestFit="1" customWidth="1"/>
    <col min="40" max="40" width="8" bestFit="1" customWidth="1"/>
    <col min="41" max="52" width="9.5546875" bestFit="1" customWidth="1"/>
    <col min="53" max="53" width="8" bestFit="1" customWidth="1"/>
    <col min="54" max="54" width="9.5546875" bestFit="1" customWidth="1"/>
    <col min="55" max="55" width="8" bestFit="1" customWidth="1"/>
    <col min="56" max="57" width="9.5546875" bestFit="1" customWidth="1"/>
    <col min="58" max="58" width="8" bestFit="1" customWidth="1"/>
    <col min="59" max="61" width="9.5546875" bestFit="1" customWidth="1"/>
    <col min="62" max="62" width="8" bestFit="1" customWidth="1"/>
    <col min="63" max="70" width="9.5546875" bestFit="1" customWidth="1"/>
    <col min="71" max="71" width="8" bestFit="1" customWidth="1"/>
    <col min="72" max="75" width="9.5546875" bestFit="1" customWidth="1"/>
    <col min="76" max="77" width="8" bestFit="1" customWidth="1"/>
    <col min="78" max="88" width="9.5546875" bestFit="1" customWidth="1"/>
    <col min="89" max="89" width="8" bestFit="1" customWidth="1"/>
    <col min="90" max="101" width="9.5546875" bestFit="1" customWidth="1"/>
    <col min="102" max="102" width="8" bestFit="1" customWidth="1"/>
    <col min="103" max="105" width="9.5546875" bestFit="1" customWidth="1"/>
    <col min="106" max="106" width="8" bestFit="1" customWidth="1"/>
    <col min="107" max="108" width="9.5546875" bestFit="1" customWidth="1"/>
    <col min="109" max="109" width="8" bestFit="1" customWidth="1"/>
    <col min="110" max="113" width="9.5546875" bestFit="1" customWidth="1"/>
    <col min="114" max="115" width="8" bestFit="1" customWidth="1"/>
    <col min="116" max="123" width="9.5546875" bestFit="1" customWidth="1"/>
    <col min="124" max="125" width="8" bestFit="1" customWidth="1"/>
    <col min="126" max="126" width="9.5546875" bestFit="1" customWidth="1"/>
    <col min="127" max="127" width="8" bestFit="1" customWidth="1"/>
    <col min="128" max="154" width="9.5546875" bestFit="1" customWidth="1"/>
    <col min="155" max="155" width="8" bestFit="1" customWidth="1"/>
    <col min="156" max="163" width="9.5546875" bestFit="1" customWidth="1"/>
    <col min="164" max="164" width="8" bestFit="1" customWidth="1"/>
    <col min="165" max="181" width="9.5546875" bestFit="1" customWidth="1"/>
    <col min="182" max="182" width="8" bestFit="1" customWidth="1"/>
    <col min="183" max="185" width="9.5546875" bestFit="1" customWidth="1"/>
    <col min="186" max="186" width="8" bestFit="1" customWidth="1"/>
    <col min="187" max="187" width="9.5546875" bestFit="1" customWidth="1"/>
    <col min="188" max="190" width="8" bestFit="1" customWidth="1"/>
    <col min="191" max="215" width="9.5546875" bestFit="1" customWidth="1"/>
    <col min="216" max="216" width="8" bestFit="1" customWidth="1"/>
    <col min="217" max="223" width="9.5546875" bestFit="1" customWidth="1"/>
    <col min="224" max="224" width="8" bestFit="1" customWidth="1"/>
    <col min="225" max="231" width="9.5546875" bestFit="1" customWidth="1"/>
    <col min="232" max="232" width="8" bestFit="1" customWidth="1"/>
    <col min="233" max="267" width="9.5546875" bestFit="1" customWidth="1"/>
    <col min="268" max="268" width="8" bestFit="1" customWidth="1"/>
    <col min="269" max="269" width="9.5546875" bestFit="1" customWidth="1"/>
    <col min="270" max="270" width="8" bestFit="1" customWidth="1"/>
    <col min="271" max="271" width="9.5546875" bestFit="1" customWidth="1"/>
    <col min="272" max="273" width="8" bestFit="1" customWidth="1"/>
    <col min="274" max="275" width="9.5546875" bestFit="1" customWidth="1"/>
    <col min="276" max="277" width="8" bestFit="1" customWidth="1"/>
    <col min="278" max="298" width="9.5546875" bestFit="1" customWidth="1"/>
    <col min="299" max="299" width="8" bestFit="1" customWidth="1"/>
    <col min="300" max="308" width="9.5546875" bestFit="1" customWidth="1"/>
    <col min="309" max="309" width="8" bestFit="1" customWidth="1"/>
    <col min="310" max="314" width="9.5546875" bestFit="1" customWidth="1"/>
    <col min="315" max="315" width="8" bestFit="1" customWidth="1"/>
    <col min="316" max="342" width="9.5546875" bestFit="1" customWidth="1"/>
    <col min="343" max="343" width="8" bestFit="1" customWidth="1"/>
    <col min="344" max="349" width="9.5546875" bestFit="1" customWidth="1"/>
    <col min="350" max="350" width="8" bestFit="1" customWidth="1"/>
    <col min="351" max="358" width="9.5546875" bestFit="1" customWidth="1"/>
    <col min="359" max="359" width="8" bestFit="1" customWidth="1"/>
    <col min="360" max="378" width="9.5546875" bestFit="1" customWidth="1"/>
    <col min="379" max="380" width="8" bestFit="1" customWidth="1"/>
    <col min="381" max="382" width="9.5546875" bestFit="1" customWidth="1"/>
    <col min="383" max="383" width="8" bestFit="1" customWidth="1"/>
    <col min="384" max="385" width="9.5546875" bestFit="1" customWidth="1"/>
    <col min="386" max="386" width="8" bestFit="1" customWidth="1"/>
    <col min="387" max="391" width="9.5546875" bestFit="1" customWidth="1"/>
    <col min="392" max="392" width="8" bestFit="1" customWidth="1"/>
    <col min="393" max="398" width="9.5546875" bestFit="1" customWidth="1"/>
    <col min="399" max="399" width="8" bestFit="1" customWidth="1"/>
    <col min="400" max="402" width="9.5546875" bestFit="1" customWidth="1"/>
    <col min="403" max="403" width="8" bestFit="1" customWidth="1"/>
    <col min="404" max="408" width="9.5546875" bestFit="1" customWidth="1"/>
    <col min="409" max="409" width="8" bestFit="1" customWidth="1"/>
    <col min="410" max="413" width="9.5546875" bestFit="1" customWidth="1"/>
    <col min="414" max="415" width="8" bestFit="1" customWidth="1"/>
    <col min="416" max="429" width="9.5546875" bestFit="1" customWidth="1"/>
    <col min="430" max="430" width="8" bestFit="1" customWidth="1"/>
    <col min="431" max="431" width="9.5546875" bestFit="1" customWidth="1"/>
    <col min="432" max="432" width="8" bestFit="1" customWidth="1"/>
    <col min="433" max="439" width="9.5546875" bestFit="1" customWidth="1"/>
    <col min="440" max="440" width="8" bestFit="1" customWidth="1"/>
    <col min="441" max="444" width="9.5546875" bestFit="1" customWidth="1"/>
    <col min="445" max="445" width="8" bestFit="1" customWidth="1"/>
    <col min="446" max="459" width="9.5546875" bestFit="1" customWidth="1"/>
    <col min="460" max="460" width="8" bestFit="1" customWidth="1"/>
    <col min="461" max="489" width="9.5546875" bestFit="1" customWidth="1"/>
    <col min="490" max="490" width="8" bestFit="1" customWidth="1"/>
    <col min="491" max="492" width="9.5546875" bestFit="1" customWidth="1"/>
    <col min="493" max="496" width="8" bestFit="1" customWidth="1"/>
    <col min="497" max="498" width="9.5546875" bestFit="1" customWidth="1"/>
    <col min="499" max="499" width="8" bestFit="1" customWidth="1"/>
    <col min="500" max="502" width="9.5546875" bestFit="1" customWidth="1"/>
    <col min="503" max="503" width="8" bestFit="1" customWidth="1"/>
    <col min="504" max="511" width="9.5546875" bestFit="1" customWidth="1"/>
    <col min="512" max="512" width="8" bestFit="1" customWidth="1"/>
    <col min="513" max="517" width="9.5546875" bestFit="1" customWidth="1"/>
    <col min="518" max="518" width="8" bestFit="1" customWidth="1"/>
    <col min="519" max="522" width="9.5546875" bestFit="1" customWidth="1"/>
    <col min="523" max="523" width="8" bestFit="1" customWidth="1"/>
    <col min="524" max="527" width="9.5546875" bestFit="1" customWidth="1"/>
    <col min="528" max="528" width="8" bestFit="1" customWidth="1"/>
    <col min="529" max="530" width="9.5546875" bestFit="1" customWidth="1"/>
    <col min="531" max="531" width="8" bestFit="1" customWidth="1"/>
    <col min="532" max="556" width="9.5546875" bestFit="1" customWidth="1"/>
    <col min="557" max="557" width="8" bestFit="1" customWidth="1"/>
    <col min="558" max="562" width="9.5546875" bestFit="1" customWidth="1"/>
    <col min="563" max="564" width="8" bestFit="1" customWidth="1"/>
    <col min="565" max="570" width="9.5546875" bestFit="1" customWidth="1"/>
    <col min="571" max="572" width="8" bestFit="1" customWidth="1"/>
    <col min="573" max="590" width="9.5546875" bestFit="1" customWidth="1"/>
    <col min="591" max="591" width="8" bestFit="1" customWidth="1"/>
    <col min="592" max="599" width="9.5546875" bestFit="1" customWidth="1"/>
    <col min="600" max="600" width="8" bestFit="1" customWidth="1"/>
    <col min="601" max="606" width="9.5546875" bestFit="1" customWidth="1"/>
    <col min="607" max="607" width="8" bestFit="1" customWidth="1"/>
    <col min="608" max="615" width="9.5546875" bestFit="1" customWidth="1"/>
    <col min="616" max="616" width="8" bestFit="1" customWidth="1"/>
    <col min="617" max="617" width="9.5546875" bestFit="1" customWidth="1"/>
    <col min="618" max="618" width="8" bestFit="1" customWidth="1"/>
    <col min="619" max="641" width="9.5546875" bestFit="1" customWidth="1"/>
    <col min="642" max="643" width="8" bestFit="1" customWidth="1"/>
    <col min="644" max="676" width="9.5546875" bestFit="1" customWidth="1"/>
    <col min="677" max="677" width="8" bestFit="1" customWidth="1"/>
    <col min="678" max="689" width="9.5546875" bestFit="1" customWidth="1"/>
    <col min="690" max="690" width="8" bestFit="1" customWidth="1"/>
    <col min="691" max="693" width="9.5546875" bestFit="1" customWidth="1"/>
    <col min="694" max="694" width="8" bestFit="1" customWidth="1"/>
    <col min="695" max="700" width="9.5546875" bestFit="1" customWidth="1"/>
    <col min="701" max="701" width="8" bestFit="1" customWidth="1"/>
    <col min="702" max="705" width="9.5546875" bestFit="1" customWidth="1"/>
    <col min="706" max="706" width="8" bestFit="1" customWidth="1"/>
    <col min="707" max="708" width="9.5546875" bestFit="1" customWidth="1"/>
    <col min="709" max="709" width="8" bestFit="1" customWidth="1"/>
    <col min="710" max="721" width="9.5546875" bestFit="1" customWidth="1"/>
    <col min="722" max="722" width="8" bestFit="1" customWidth="1"/>
    <col min="723" max="731" width="9.5546875" bestFit="1" customWidth="1"/>
    <col min="732" max="732" width="8" bestFit="1" customWidth="1"/>
    <col min="733" max="733" width="9.5546875" bestFit="1" customWidth="1"/>
    <col min="734" max="734" width="8" bestFit="1" customWidth="1"/>
    <col min="735" max="748" width="9.5546875" bestFit="1" customWidth="1"/>
    <col min="749" max="749" width="8" bestFit="1" customWidth="1"/>
    <col min="750" max="751" width="9.5546875" bestFit="1" customWidth="1"/>
    <col min="752" max="752" width="8" bestFit="1" customWidth="1"/>
    <col min="753" max="756" width="9.5546875" bestFit="1" customWidth="1"/>
    <col min="757" max="757" width="8" bestFit="1" customWidth="1"/>
    <col min="758" max="763" width="9.5546875" bestFit="1" customWidth="1"/>
    <col min="764" max="764" width="8" bestFit="1" customWidth="1"/>
    <col min="765" max="765" width="9.5546875" bestFit="1" customWidth="1"/>
    <col min="766" max="766" width="8" bestFit="1" customWidth="1"/>
    <col min="767" max="778" width="9.5546875" bestFit="1" customWidth="1"/>
    <col min="779" max="780" width="8" bestFit="1" customWidth="1"/>
    <col min="781" max="783" width="9.5546875" bestFit="1" customWidth="1"/>
    <col min="784" max="784" width="8" bestFit="1" customWidth="1"/>
    <col min="785" max="793" width="9.5546875" bestFit="1" customWidth="1"/>
    <col min="794" max="794" width="8" bestFit="1" customWidth="1"/>
    <col min="795" max="798" width="9.5546875" bestFit="1" customWidth="1"/>
    <col min="799" max="799" width="8" bestFit="1" customWidth="1"/>
    <col min="800" max="806" width="9.5546875" bestFit="1" customWidth="1"/>
    <col min="807" max="807" width="8" bestFit="1" customWidth="1"/>
    <col min="808" max="831" width="9.5546875" bestFit="1" customWidth="1"/>
    <col min="832" max="832" width="8" bestFit="1" customWidth="1"/>
    <col min="833" max="836" width="9.5546875" bestFit="1" customWidth="1"/>
    <col min="837" max="837" width="8" bestFit="1" customWidth="1"/>
    <col min="838" max="846" width="9.5546875" bestFit="1" customWidth="1"/>
    <col min="847" max="847" width="8" bestFit="1" customWidth="1"/>
    <col min="848" max="862" width="9.5546875" bestFit="1" customWidth="1"/>
    <col min="863" max="863" width="8" bestFit="1" customWidth="1"/>
    <col min="864" max="870" width="9.5546875" bestFit="1" customWidth="1"/>
    <col min="871" max="871" width="8" bestFit="1" customWidth="1"/>
    <col min="872" max="877" width="9.5546875" bestFit="1" customWidth="1"/>
    <col min="878" max="878" width="8" bestFit="1" customWidth="1"/>
    <col min="879" max="882" width="9.5546875" bestFit="1" customWidth="1"/>
    <col min="883" max="883" width="8" bestFit="1" customWidth="1"/>
    <col min="884" max="886" width="9.5546875" bestFit="1" customWidth="1"/>
    <col min="887" max="888" width="8" bestFit="1" customWidth="1"/>
    <col min="889" max="892" width="9.5546875" bestFit="1" customWidth="1"/>
    <col min="893" max="893" width="8" bestFit="1" customWidth="1"/>
    <col min="894" max="898" width="9.5546875" bestFit="1" customWidth="1"/>
    <col min="899" max="900" width="8" bestFit="1" customWidth="1"/>
    <col min="901" max="901" width="9.5546875" bestFit="1" customWidth="1"/>
    <col min="902" max="902" width="8" bestFit="1" customWidth="1"/>
    <col min="903" max="919" width="9.5546875" bestFit="1" customWidth="1"/>
    <col min="920" max="920" width="8" bestFit="1" customWidth="1"/>
    <col min="921" max="923" width="9.5546875" bestFit="1" customWidth="1"/>
    <col min="924" max="924" width="8" bestFit="1" customWidth="1"/>
    <col min="925" max="951" width="9.5546875" bestFit="1" customWidth="1"/>
    <col min="952" max="952" width="8" bestFit="1" customWidth="1"/>
    <col min="953" max="954" width="9.5546875" bestFit="1" customWidth="1"/>
    <col min="955" max="955" width="8" bestFit="1" customWidth="1"/>
    <col min="956" max="986" width="9.5546875" bestFit="1" customWidth="1"/>
    <col min="987" max="987" width="8" bestFit="1" customWidth="1"/>
    <col min="988" max="992" width="9.5546875" bestFit="1" customWidth="1"/>
    <col min="993" max="993" width="8" bestFit="1" customWidth="1"/>
    <col min="994" max="1001" width="9.5546875" bestFit="1" customWidth="1"/>
    <col min="1002" max="1003" width="8" bestFit="1" customWidth="1"/>
    <col min="1004" max="1004" width="9.5546875" bestFit="1" customWidth="1"/>
    <col min="1005" max="1005" width="13.21875" bestFit="1" customWidth="1"/>
  </cols>
  <sheetData>
    <row r="1" spans="1:8" x14ac:dyDescent="0.3">
      <c r="A1" s="4" t="s">
        <v>941</v>
      </c>
      <c r="B1" t="s">
        <v>943</v>
      </c>
      <c r="D1" t="s">
        <v>944</v>
      </c>
      <c r="E1" t="s">
        <v>943</v>
      </c>
      <c r="F1" t="s">
        <v>945</v>
      </c>
      <c r="G1" t="s">
        <v>947</v>
      </c>
    </row>
    <row r="2" spans="1:8" x14ac:dyDescent="0.3">
      <c r="A2" s="5" t="s">
        <v>842</v>
      </c>
      <c r="B2" s="7">
        <v>95468</v>
      </c>
      <c r="D2" s="8">
        <v>5.53</v>
      </c>
      <c r="E2" s="7">
        <v>3520984</v>
      </c>
      <c r="F2" s="7">
        <v>3520.9839999999999</v>
      </c>
      <c r="G2" s="8">
        <v>1000</v>
      </c>
    </row>
    <row r="3" spans="1:8" x14ac:dyDescent="0.3">
      <c r="A3" s="5" t="s">
        <v>621</v>
      </c>
      <c r="B3" s="7">
        <v>704509</v>
      </c>
    </row>
    <row r="4" spans="1:8" x14ac:dyDescent="0.3">
      <c r="A4" s="5" t="s">
        <v>747</v>
      </c>
      <c r="B4" s="7">
        <v>511823</v>
      </c>
    </row>
    <row r="5" spans="1:8" x14ac:dyDescent="0.3">
      <c r="A5" s="5" t="s">
        <v>837</v>
      </c>
      <c r="B5" s="7">
        <v>140393</v>
      </c>
      <c r="D5" s="4" t="s">
        <v>941</v>
      </c>
      <c r="E5" t="s">
        <v>943</v>
      </c>
    </row>
    <row r="6" spans="1:8" x14ac:dyDescent="0.3">
      <c r="A6" s="5" t="s">
        <v>840</v>
      </c>
      <c r="B6" s="7">
        <v>150346</v>
      </c>
      <c r="D6" s="5" t="s">
        <v>877</v>
      </c>
      <c r="E6" s="7">
        <v>97665</v>
      </c>
    </row>
    <row r="7" spans="1:8" x14ac:dyDescent="0.3">
      <c r="A7" s="5" t="s">
        <v>841</v>
      </c>
      <c r="B7" s="7">
        <v>157913</v>
      </c>
      <c r="D7" s="5" t="s">
        <v>918</v>
      </c>
      <c r="E7" s="7">
        <v>106624</v>
      </c>
    </row>
    <row r="8" spans="1:8" x14ac:dyDescent="0.3">
      <c r="A8" s="5" t="s">
        <v>839</v>
      </c>
      <c r="B8" s="7">
        <v>135826</v>
      </c>
      <c r="D8" s="5" t="s">
        <v>910</v>
      </c>
      <c r="E8" s="7">
        <v>101556</v>
      </c>
    </row>
    <row r="9" spans="1:8" x14ac:dyDescent="0.3">
      <c r="A9" s="5" t="s">
        <v>795</v>
      </c>
      <c r="B9" s="7">
        <v>737389</v>
      </c>
      <c r="D9" s="5" t="s">
        <v>858</v>
      </c>
      <c r="E9" s="7">
        <v>121905</v>
      </c>
      <c r="G9">
        <f>CORREL(Orders[Quantity],Orders[diff_order_delivery])</f>
        <v>3.4781737193018245E-3</v>
      </c>
    </row>
    <row r="10" spans="1:8" x14ac:dyDescent="0.3">
      <c r="A10" s="5" t="s">
        <v>843</v>
      </c>
      <c r="B10" s="7">
        <v>136938</v>
      </c>
      <c r="D10" s="5" t="s">
        <v>884</v>
      </c>
      <c r="E10" s="7">
        <v>114476</v>
      </c>
    </row>
    <row r="11" spans="1:8" x14ac:dyDescent="0.3">
      <c r="A11" s="5" t="s">
        <v>845</v>
      </c>
      <c r="B11" s="7">
        <v>151619</v>
      </c>
      <c r="D11" s="5" t="s">
        <v>942</v>
      </c>
      <c r="E11" s="7">
        <v>542226</v>
      </c>
      <c r="G11" s="4" t="s">
        <v>941</v>
      </c>
      <c r="H11" t="s">
        <v>943</v>
      </c>
    </row>
    <row r="12" spans="1:8" x14ac:dyDescent="0.3">
      <c r="A12" s="5" t="s">
        <v>822</v>
      </c>
      <c r="B12" s="7">
        <v>449169</v>
      </c>
      <c r="G12" s="5" t="s">
        <v>699</v>
      </c>
      <c r="H12" s="7">
        <v>586176</v>
      </c>
    </row>
    <row r="13" spans="1:8" x14ac:dyDescent="0.3">
      <c r="A13" s="5" t="s">
        <v>836</v>
      </c>
      <c r="B13" s="7">
        <v>149591</v>
      </c>
      <c r="G13" s="5" t="s">
        <v>698</v>
      </c>
      <c r="H13" s="7">
        <v>674634</v>
      </c>
    </row>
    <row r="14" spans="1:8" x14ac:dyDescent="0.3">
      <c r="A14" s="5" t="s">
        <v>942</v>
      </c>
      <c r="B14" s="7">
        <v>3520984</v>
      </c>
      <c r="G14" s="5" t="s">
        <v>707</v>
      </c>
      <c r="H14" s="7">
        <v>408194</v>
      </c>
    </row>
    <row r="15" spans="1:8" x14ac:dyDescent="0.3">
      <c r="D15" s="4" t="s">
        <v>941</v>
      </c>
      <c r="E15" t="s">
        <v>946</v>
      </c>
      <c r="G15" s="5" t="s">
        <v>829</v>
      </c>
      <c r="H15" s="7">
        <v>313783</v>
      </c>
    </row>
    <row r="16" spans="1:8" x14ac:dyDescent="0.3">
      <c r="A16" s="4" t="s">
        <v>941</v>
      </c>
      <c r="B16" t="s">
        <v>943</v>
      </c>
      <c r="D16" s="5" t="s">
        <v>218</v>
      </c>
      <c r="E16" s="8">
        <v>18</v>
      </c>
      <c r="G16" s="5" t="s">
        <v>701</v>
      </c>
      <c r="H16" s="7">
        <v>574682</v>
      </c>
    </row>
    <row r="17" spans="1:8" x14ac:dyDescent="0.3">
      <c r="A17" s="5" t="s">
        <v>868</v>
      </c>
      <c r="B17" s="7">
        <v>329862</v>
      </c>
      <c r="D17" s="5" t="s">
        <v>152</v>
      </c>
      <c r="E17" s="8">
        <v>21</v>
      </c>
      <c r="G17" s="5" t="s">
        <v>794</v>
      </c>
      <c r="H17" s="7">
        <v>631585</v>
      </c>
    </row>
    <row r="18" spans="1:8" x14ac:dyDescent="0.3">
      <c r="A18" s="5" t="s">
        <v>863</v>
      </c>
      <c r="B18" s="7">
        <v>1005645</v>
      </c>
      <c r="D18" s="5" t="s">
        <v>32</v>
      </c>
      <c r="E18" s="8">
        <v>18</v>
      </c>
      <c r="G18" s="5" t="s">
        <v>620</v>
      </c>
      <c r="H18" s="7">
        <v>331930</v>
      </c>
    </row>
    <row r="19" spans="1:8" x14ac:dyDescent="0.3">
      <c r="A19" s="5" t="s">
        <v>874</v>
      </c>
      <c r="B19" s="7">
        <v>201151</v>
      </c>
      <c r="D19" s="5" t="s">
        <v>324</v>
      </c>
      <c r="E19" s="8">
        <v>28</v>
      </c>
      <c r="G19" s="5" t="s">
        <v>942</v>
      </c>
      <c r="H19" s="7">
        <v>3520984</v>
      </c>
    </row>
    <row r="20" spans="1:8" x14ac:dyDescent="0.3">
      <c r="A20" s="5" t="s">
        <v>861</v>
      </c>
      <c r="B20" s="7">
        <v>212281</v>
      </c>
      <c r="D20" s="5" t="s">
        <v>230</v>
      </c>
      <c r="E20" s="8">
        <v>21</v>
      </c>
    </row>
    <row r="21" spans="1:8" x14ac:dyDescent="0.3">
      <c r="A21" s="5" t="s">
        <v>794</v>
      </c>
      <c r="B21" s="7">
        <v>297372</v>
      </c>
      <c r="D21" s="5" t="s">
        <v>301</v>
      </c>
      <c r="E21" s="8">
        <v>20</v>
      </c>
    </row>
    <row r="22" spans="1:8" x14ac:dyDescent="0.3">
      <c r="A22" s="5" t="s">
        <v>859</v>
      </c>
      <c r="B22" s="7">
        <v>740831</v>
      </c>
      <c r="D22" s="5" t="s">
        <v>188</v>
      </c>
      <c r="E22" s="8">
        <v>24</v>
      </c>
    </row>
    <row r="23" spans="1:8" x14ac:dyDescent="0.3">
      <c r="A23" s="5" t="s">
        <v>865</v>
      </c>
      <c r="B23" s="7">
        <v>733842</v>
      </c>
      <c r="D23" s="5" t="s">
        <v>307</v>
      </c>
      <c r="E23" s="8">
        <v>29</v>
      </c>
    </row>
    <row r="24" spans="1:8" x14ac:dyDescent="0.3">
      <c r="A24" s="5" t="s">
        <v>942</v>
      </c>
      <c r="B24" s="7">
        <v>3520984</v>
      </c>
      <c r="D24" s="5" t="s">
        <v>158</v>
      </c>
      <c r="E24" s="8">
        <v>27</v>
      </c>
    </row>
    <row r="25" spans="1:8" x14ac:dyDescent="0.3">
      <c r="D25" s="5" t="s">
        <v>397</v>
      </c>
      <c r="E25" s="8">
        <v>19</v>
      </c>
    </row>
    <row r="26" spans="1:8" x14ac:dyDescent="0.3">
      <c r="D26" s="5" t="s">
        <v>942</v>
      </c>
      <c r="E26" s="8">
        <v>225</v>
      </c>
    </row>
    <row r="28" spans="1:8" x14ac:dyDescent="0.3">
      <c r="A28" s="4" t="s">
        <v>941</v>
      </c>
      <c r="B28" t="s">
        <v>943</v>
      </c>
    </row>
    <row r="29" spans="1:8" x14ac:dyDescent="0.3">
      <c r="A29" s="5">
        <v>0</v>
      </c>
      <c r="B29" s="7">
        <v>99400</v>
      </c>
    </row>
    <row r="30" spans="1:8" x14ac:dyDescent="0.3">
      <c r="A30" s="5">
        <v>1</v>
      </c>
      <c r="B30" s="7">
        <v>129309</v>
      </c>
    </row>
    <row r="31" spans="1:8" x14ac:dyDescent="0.3">
      <c r="A31" s="5">
        <v>2</v>
      </c>
      <c r="B31" s="7">
        <v>152940</v>
      </c>
    </row>
    <row r="32" spans="1:8" x14ac:dyDescent="0.3">
      <c r="A32" s="5">
        <v>3</v>
      </c>
      <c r="B32" s="7">
        <v>146810</v>
      </c>
    </row>
    <row r="33" spans="1:2" x14ac:dyDescent="0.3">
      <c r="A33" s="5">
        <v>4</v>
      </c>
      <c r="B33" s="7">
        <v>114700</v>
      </c>
    </row>
    <row r="34" spans="1:2" x14ac:dyDescent="0.3">
      <c r="A34" s="5">
        <v>5</v>
      </c>
      <c r="B34" s="7">
        <v>156198</v>
      </c>
    </row>
    <row r="35" spans="1:2" x14ac:dyDescent="0.3">
      <c r="A35" s="5">
        <v>6</v>
      </c>
      <c r="B35" s="7">
        <v>177211</v>
      </c>
    </row>
    <row r="36" spans="1:2" x14ac:dyDescent="0.3">
      <c r="A36" s="5">
        <v>7</v>
      </c>
      <c r="B36" s="7">
        <v>147749</v>
      </c>
    </row>
    <row r="37" spans="1:2" x14ac:dyDescent="0.3">
      <c r="A37" s="5">
        <v>8</v>
      </c>
      <c r="B37" s="7">
        <v>133617</v>
      </c>
    </row>
    <row r="38" spans="1:2" x14ac:dyDescent="0.3">
      <c r="A38" s="5">
        <v>9</v>
      </c>
      <c r="B38" s="7">
        <v>153678</v>
      </c>
    </row>
    <row r="39" spans="1:2" x14ac:dyDescent="0.3">
      <c r="A39" s="5">
        <v>10</v>
      </c>
      <c r="B39" s="7">
        <v>94985</v>
      </c>
    </row>
    <row r="40" spans="1:2" x14ac:dyDescent="0.3">
      <c r="A40" s="5">
        <v>11</v>
      </c>
      <c r="B40" s="7">
        <v>130287</v>
      </c>
    </row>
    <row r="41" spans="1:2" x14ac:dyDescent="0.3">
      <c r="A41" s="5">
        <v>12</v>
      </c>
      <c r="B41" s="7">
        <v>162394</v>
      </c>
    </row>
    <row r="42" spans="1:2" x14ac:dyDescent="0.3">
      <c r="A42" s="5">
        <v>13</v>
      </c>
      <c r="B42" s="7">
        <v>152340</v>
      </c>
    </row>
    <row r="43" spans="1:2" x14ac:dyDescent="0.3">
      <c r="A43" s="5">
        <v>14</v>
      </c>
      <c r="B43" s="7">
        <v>126406</v>
      </c>
    </row>
    <row r="44" spans="1:2" x14ac:dyDescent="0.3">
      <c r="A44" s="5">
        <v>15</v>
      </c>
      <c r="B44" s="7">
        <v>163586</v>
      </c>
    </row>
    <row r="45" spans="1:2" x14ac:dyDescent="0.3">
      <c r="A45" s="5">
        <v>16</v>
      </c>
      <c r="B45" s="7">
        <v>128797</v>
      </c>
    </row>
    <row r="46" spans="1:2" x14ac:dyDescent="0.3">
      <c r="A46" s="5">
        <v>17</v>
      </c>
      <c r="B46" s="7">
        <v>155373</v>
      </c>
    </row>
    <row r="47" spans="1:2" x14ac:dyDescent="0.3">
      <c r="A47" s="5">
        <v>18</v>
      </c>
      <c r="B47" s="7">
        <v>173118</v>
      </c>
    </row>
    <row r="48" spans="1:2" x14ac:dyDescent="0.3">
      <c r="A48" s="5">
        <v>19</v>
      </c>
      <c r="B48" s="7">
        <v>185771</v>
      </c>
    </row>
    <row r="49" spans="1:2" x14ac:dyDescent="0.3">
      <c r="A49" s="5">
        <v>20</v>
      </c>
      <c r="B49" s="7">
        <v>186426</v>
      </c>
    </row>
    <row r="50" spans="1:2" x14ac:dyDescent="0.3">
      <c r="A50" s="5">
        <v>21</v>
      </c>
      <c r="B50" s="7">
        <v>155466</v>
      </c>
    </row>
    <row r="51" spans="1:2" x14ac:dyDescent="0.3">
      <c r="A51" s="5">
        <v>22</v>
      </c>
      <c r="B51" s="7">
        <v>125912</v>
      </c>
    </row>
    <row r="52" spans="1:2" x14ac:dyDescent="0.3">
      <c r="A52" s="5">
        <v>23</v>
      </c>
      <c r="B52" s="7">
        <v>168511</v>
      </c>
    </row>
    <row r="53" spans="1:2" x14ac:dyDescent="0.3">
      <c r="A53" s="5" t="s">
        <v>942</v>
      </c>
      <c r="B53"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C741-D7FF-42A8-859D-D762781EF910}">
  <dimension ref="A1"/>
  <sheetViews>
    <sheetView tabSelected="1" workbookViewId="0">
      <selection activeCell="X2" sqref="X2"/>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FF3060E-C754-4A23-A435-963E2B2CC8CF}">
  <ds:schemaRefs/>
</ds:datastoreItem>
</file>

<file path=customXml/itemProps2.xml><?xml version="1.0" encoding="utf-8"?>
<ds:datastoreItem xmlns:ds="http://schemas.openxmlformats.org/officeDocument/2006/customXml" ds:itemID="{2AC9FE73-B083-41DE-8550-4AB8457BD54D}">
  <ds:schemaRefs/>
</ds:datastoreItem>
</file>

<file path=customXml/itemProps3.xml><?xml version="1.0" encoding="utf-8"?>
<ds:datastoreItem xmlns:ds="http://schemas.openxmlformats.org/officeDocument/2006/customXml" ds:itemID="{6B669ABE-AD33-443B-AF5F-56ADF1832595}">
  <ds:schemaRefs/>
</ds:datastoreItem>
</file>

<file path=customXml/itemProps4.xml><?xml version="1.0" encoding="utf-8"?>
<ds:datastoreItem xmlns:ds="http://schemas.openxmlformats.org/officeDocument/2006/customXml" ds:itemID="{F1B14FBE-7B49-410D-A421-A758CB80FF88}">
  <ds:schemaRefs/>
</ds:datastoreItem>
</file>

<file path=customXml/itemProps5.xml><?xml version="1.0" encoding="utf-8"?>
<ds:datastoreItem xmlns:ds="http://schemas.openxmlformats.org/officeDocument/2006/customXml" ds:itemID="{06F30957-2AAF-47D5-9672-47A7BF896883}">
  <ds:schemaRefs/>
</ds:datastoreItem>
</file>

<file path=customXml/itemProps6.xml><?xml version="1.0" encoding="utf-8"?>
<ds:datastoreItem xmlns:ds="http://schemas.openxmlformats.org/officeDocument/2006/customXml" ds:itemID="{C7313890-CFAE-4C87-B982-3B1D7401472F}">
  <ds:schemaRefs/>
</ds:datastoreItem>
</file>

<file path=customXml/itemProps7.xml><?xml version="1.0" encoding="utf-8"?>
<ds:datastoreItem xmlns:ds="http://schemas.openxmlformats.org/officeDocument/2006/customXml" ds:itemID="{07B6C0E8-72B6-438C-ACA9-283397F09955}">
  <ds:schemaRefs/>
</ds:datastoreItem>
</file>

<file path=customXml/itemProps8.xml><?xml version="1.0" encoding="utf-8"?>
<ds:datastoreItem xmlns:ds="http://schemas.openxmlformats.org/officeDocument/2006/customXml" ds:itemID="{2A362DF3-9A28-400E-BBAD-4AB02FC6BB21}">
  <ds:schemaRefs/>
</ds:datastoreItem>
</file>

<file path=customXml/itemProps9.xml><?xml version="1.0" encoding="utf-8"?>
<ds:datastoreItem xmlns:ds="http://schemas.openxmlformats.org/officeDocument/2006/customXml" ds:itemID="{D19D7F1E-978B-4246-9792-C36C293A4129}">
  <ds:schemaRefs/>
</ds:datastoreItem>
</file>

<file path=customXml/itemProps10.xml><?xml version="1.0" encoding="utf-8"?>
<ds:datastoreItem xmlns:ds="http://schemas.openxmlformats.org/officeDocument/2006/customXml" ds:itemID="{0420ACFD-E764-4C98-B183-919ABBFC6C33}">
  <ds:schemaRefs/>
</ds:datastoreItem>
</file>

<file path=customXml/itemProps11.xml><?xml version="1.0" encoding="utf-8"?>
<ds:datastoreItem xmlns:ds="http://schemas.openxmlformats.org/officeDocument/2006/customXml" ds:itemID="{E0EA6FEC-2837-4C08-9AFF-9A83256DEE87}">
  <ds:schemaRefs/>
</ds:datastoreItem>
</file>

<file path=customXml/itemProps12.xml><?xml version="1.0" encoding="utf-8"?>
<ds:datastoreItem xmlns:ds="http://schemas.openxmlformats.org/officeDocument/2006/customXml" ds:itemID="{46A12C6C-0137-46AC-A200-0D35486246BE}">
  <ds:schemaRefs/>
</ds:datastoreItem>
</file>

<file path=customXml/itemProps13.xml><?xml version="1.0" encoding="utf-8"?>
<ds:datastoreItem xmlns:ds="http://schemas.openxmlformats.org/officeDocument/2006/customXml" ds:itemID="{F0FBAB7A-6DFF-43B4-976E-2C9D6CE012D1}">
  <ds:schemaRefs/>
</ds:datastoreItem>
</file>

<file path=customXml/itemProps14.xml><?xml version="1.0" encoding="utf-8"?>
<ds:datastoreItem xmlns:ds="http://schemas.openxmlformats.org/officeDocument/2006/customXml" ds:itemID="{C1D45F91-EE84-441F-89C8-5DCEA6BED25C}">
  <ds:schemaRefs>
    <ds:schemaRef ds:uri="http://schemas.microsoft.com/DataMashup"/>
  </ds:schemaRefs>
</ds:datastoreItem>
</file>

<file path=customXml/itemProps15.xml><?xml version="1.0" encoding="utf-8"?>
<ds:datastoreItem xmlns:ds="http://schemas.openxmlformats.org/officeDocument/2006/customXml" ds:itemID="{C4E7C533-1FCF-485B-8541-939872493261}">
  <ds:schemaRefs/>
</ds:datastoreItem>
</file>

<file path=customXml/itemProps16.xml><?xml version="1.0" encoding="utf-8"?>
<ds:datastoreItem xmlns:ds="http://schemas.openxmlformats.org/officeDocument/2006/customXml" ds:itemID="{9D9C0E53-2898-49FB-966E-DB738C32A5B7}">
  <ds:schemaRefs/>
</ds:datastoreItem>
</file>

<file path=customXml/itemProps17.xml><?xml version="1.0" encoding="utf-8"?>
<ds:datastoreItem xmlns:ds="http://schemas.openxmlformats.org/officeDocument/2006/customXml" ds:itemID="{0131D168-C4E3-4BC6-A2C8-D8D631C53344}">
  <ds:schemaRefs/>
</ds:datastoreItem>
</file>

<file path=customXml/itemProps18.xml><?xml version="1.0" encoding="utf-8"?>
<ds:datastoreItem xmlns:ds="http://schemas.openxmlformats.org/officeDocument/2006/customXml" ds:itemID="{1CC8F4F3-3C8B-4213-8914-6548FCB3817A}">
  <ds:schemaRefs/>
</ds:datastoreItem>
</file>

<file path=customXml/itemProps19.xml><?xml version="1.0" encoding="utf-8"?>
<ds:datastoreItem xmlns:ds="http://schemas.openxmlformats.org/officeDocument/2006/customXml" ds:itemID="{9920F93D-BBA4-46A1-961F-D59A0CFF0A89}">
  <ds:schemaRefs/>
</ds:datastoreItem>
</file>

<file path=customXml/itemProps20.xml><?xml version="1.0" encoding="utf-8"?>
<ds:datastoreItem xmlns:ds="http://schemas.openxmlformats.org/officeDocument/2006/customXml" ds:itemID="{DF45F388-A757-4CA7-8317-938F9C5C7F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VICTUS</cp:lastModifiedBy>
  <dcterms:created xsi:type="dcterms:W3CDTF">2026-08-07T21:16:08Z</dcterms:created>
  <dcterms:modified xsi:type="dcterms:W3CDTF">2026-08-08T12:43:09Z</dcterms:modified>
</cp:coreProperties>
</file>